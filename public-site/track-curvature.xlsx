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nsfield\Desktop\www-pinewood\"/>
    </mc:Choice>
  </mc:AlternateContent>
  <bookViews>
    <workbookView xWindow="0" yWindow="0" windowWidth="28800" windowHeight="12210" activeTab="1" xr2:uid="{0C59AF7C-0F1A-44DC-8C3D-2F94CEB02229}"/>
  </bookViews>
  <sheets>
    <sheet name="Sheet1" sheetId="1" r:id="rId1"/>
    <sheet name="Sheet4" sheetId="4" r:id="rId2"/>
    <sheet name="Sheet5" sheetId="5" r:id="rId3"/>
    <sheet name="Sheet3" sheetId="3" r:id="rId4"/>
    <sheet name="Sheet2" sheetId="2" r:id="rId5"/>
  </sheets>
  <definedNames>
    <definedName name="A">Sheet4!$C$5</definedName>
    <definedName name="B">Sheet4!$C$6</definedName>
    <definedName name="C_">Sheet4!$C$7</definedName>
    <definedName name="D">Sheet4!$C$8</definedName>
    <definedName name="E">Sheet4!$C$9</definedName>
    <definedName name="EI">Sheet4!$C$1</definedName>
    <definedName name="h">Sheet4!$C$2</definedName>
    <definedName name="L">Sheet4!$C$4</definedName>
    <definedName name="q">Sheet4!$C$3</definedName>
    <definedName name="x">Sheet4!$B$10:$B$2560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" l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H11" i="4" l="1"/>
  <c r="O6" i="5" l="1"/>
  <c r="O5" i="5"/>
  <c r="O4" i="5"/>
  <c r="K5" i="5"/>
  <c r="K4" i="5"/>
  <c r="G5" i="5"/>
  <c r="G4" i="5"/>
  <c r="D11" i="5"/>
  <c r="E5" i="5"/>
  <c r="E4" i="5"/>
  <c r="I6" i="4" l="1"/>
  <c r="M7" i="4"/>
  <c r="M5" i="4"/>
  <c r="H4" i="4"/>
  <c r="F4" i="4"/>
  <c r="F2" i="4"/>
  <c r="C9" i="4"/>
  <c r="C8" i="4"/>
  <c r="C6" i="4"/>
  <c r="C5" i="4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6" i="1"/>
  <c r="H12" i="4" l="1"/>
  <c r="G14" i="4"/>
  <c r="F11" i="4"/>
  <c r="G109" i="4"/>
  <c r="G101" i="4"/>
  <c r="G93" i="4"/>
  <c r="G85" i="4"/>
  <c r="G77" i="4"/>
  <c r="G69" i="4"/>
  <c r="G61" i="4"/>
  <c r="G53" i="4"/>
  <c r="G45" i="4"/>
  <c r="G37" i="4"/>
  <c r="G29" i="4"/>
  <c r="G21" i="4"/>
  <c r="G13" i="4"/>
  <c r="G108" i="4"/>
  <c r="G100" i="4"/>
  <c r="G92" i="4"/>
  <c r="G84" i="4"/>
  <c r="G76" i="4"/>
  <c r="G68" i="4"/>
  <c r="G60" i="4"/>
  <c r="G52" i="4"/>
  <c r="G44" i="4"/>
  <c r="G36" i="4"/>
  <c r="G28" i="4"/>
  <c r="G20" i="4"/>
  <c r="G12" i="4"/>
  <c r="G99" i="4"/>
  <c r="G83" i="4"/>
  <c r="G67" i="4"/>
  <c r="G59" i="4"/>
  <c r="G51" i="4"/>
  <c r="G43" i="4"/>
  <c r="G35" i="4"/>
  <c r="G27" i="4"/>
  <c r="G19" i="4"/>
  <c r="G107" i="4"/>
  <c r="G91" i="4"/>
  <c r="G75" i="4"/>
  <c r="G106" i="4"/>
  <c r="G98" i="4"/>
  <c r="G90" i="4"/>
  <c r="G82" i="4"/>
  <c r="G74" i="4"/>
  <c r="G66" i="4"/>
  <c r="G58" i="4"/>
  <c r="G50" i="4"/>
  <c r="G42" i="4"/>
  <c r="G34" i="4"/>
  <c r="G26" i="4"/>
  <c r="G18" i="4"/>
  <c r="G105" i="4"/>
  <c r="G97" i="4"/>
  <c r="G89" i="4"/>
  <c r="G81" i="4"/>
  <c r="G73" i="4"/>
  <c r="G65" i="4"/>
  <c r="G57" i="4"/>
  <c r="G49" i="4"/>
  <c r="G41" i="4"/>
  <c r="G33" i="4"/>
  <c r="G25" i="4"/>
  <c r="G17" i="4"/>
  <c r="G11" i="4"/>
  <c r="G104" i="4"/>
  <c r="G96" i="4"/>
  <c r="G88" i="4"/>
  <c r="G80" i="4"/>
  <c r="G72" i="4"/>
  <c r="G64" i="4"/>
  <c r="G56" i="4"/>
  <c r="G48" i="4"/>
  <c r="G40" i="4"/>
  <c r="G32" i="4"/>
  <c r="G24" i="4"/>
  <c r="G16" i="4"/>
  <c r="G111" i="4"/>
  <c r="G103" i="4"/>
  <c r="G95" i="4"/>
  <c r="G87" i="4"/>
  <c r="G79" i="4"/>
  <c r="G71" i="4"/>
  <c r="G63" i="4"/>
  <c r="G55" i="4"/>
  <c r="G47" i="4"/>
  <c r="G39" i="4"/>
  <c r="G31" i="4"/>
  <c r="G23" i="4"/>
  <c r="G15" i="4"/>
  <c r="G110" i="4"/>
  <c r="G102" i="4"/>
  <c r="G94" i="4"/>
  <c r="G86" i="4"/>
  <c r="G78" i="4"/>
  <c r="G70" i="4"/>
  <c r="G62" i="4"/>
  <c r="G54" i="4"/>
  <c r="G46" i="4"/>
  <c r="G38" i="4"/>
  <c r="G30" i="4"/>
  <c r="G22" i="4"/>
  <c r="E12" i="4"/>
  <c r="D12" i="4"/>
  <c r="J11" i="4" s="1"/>
  <c r="K12" i="4" s="1"/>
  <c r="E11" i="4"/>
  <c r="F12" i="4"/>
  <c r="D11" i="4"/>
  <c r="C12" i="4"/>
  <c r="H13" i="4"/>
  <c r="C11" i="4"/>
  <c r="I11" i="4" s="1"/>
  <c r="I12" i="4" l="1"/>
  <c r="D13" i="4"/>
  <c r="J12" i="4" s="1"/>
  <c r="K13" i="4" s="1"/>
  <c r="E13" i="4"/>
  <c r="F13" i="4"/>
  <c r="C13" i="4"/>
  <c r="I13" i="4" s="1"/>
  <c r="H14" i="4"/>
  <c r="D14" i="4" l="1"/>
  <c r="J13" i="4" s="1"/>
  <c r="K14" i="4" s="1"/>
  <c r="E14" i="4"/>
  <c r="F14" i="4"/>
  <c r="H15" i="4"/>
  <c r="C14" i="4"/>
  <c r="I14" i="4" s="1"/>
  <c r="F15" i="4" l="1"/>
  <c r="D15" i="4"/>
  <c r="J14" i="4" s="1"/>
  <c r="K15" i="4" s="1"/>
  <c r="E15" i="4"/>
  <c r="H16" i="4"/>
  <c r="C15" i="4"/>
  <c r="I15" i="4" s="1"/>
  <c r="F16" i="4" l="1"/>
  <c r="D16" i="4"/>
  <c r="J15" i="4" s="1"/>
  <c r="K16" i="4" s="1"/>
  <c r="E16" i="4"/>
  <c r="H17" i="4"/>
  <c r="C16" i="4"/>
  <c r="I16" i="4" s="1"/>
  <c r="F17" i="4" l="1"/>
  <c r="D17" i="4"/>
  <c r="J16" i="4" s="1"/>
  <c r="K17" i="4" s="1"/>
  <c r="E17" i="4"/>
  <c r="H18" i="4"/>
  <c r="C17" i="4"/>
  <c r="I17" i="4" s="1"/>
  <c r="E18" i="4" l="1"/>
  <c r="F18" i="4"/>
  <c r="D18" i="4"/>
  <c r="J17" i="4" s="1"/>
  <c r="K18" i="4" s="1"/>
  <c r="H19" i="4"/>
  <c r="C18" i="4"/>
  <c r="I18" i="4" s="1"/>
  <c r="E19" i="4" l="1"/>
  <c r="F19" i="4"/>
  <c r="D19" i="4"/>
  <c r="J18" i="4" s="1"/>
  <c r="K19" i="4" s="1"/>
  <c r="H20" i="4"/>
  <c r="C19" i="4"/>
  <c r="I19" i="4" s="1"/>
  <c r="E20" i="4" l="1"/>
  <c r="F20" i="4"/>
  <c r="D20" i="4"/>
  <c r="J19" i="4" s="1"/>
  <c r="K20" i="4" s="1"/>
  <c r="H21" i="4"/>
  <c r="C20" i="4"/>
  <c r="I20" i="4" s="1"/>
  <c r="D21" i="4" l="1"/>
  <c r="J20" i="4" s="1"/>
  <c r="K21" i="4" s="1"/>
  <c r="E21" i="4"/>
  <c r="F21" i="4"/>
  <c r="H22" i="4"/>
  <c r="C21" i="4"/>
  <c r="I21" i="4" s="1"/>
  <c r="D22" i="4" l="1"/>
  <c r="J21" i="4" s="1"/>
  <c r="K22" i="4" s="1"/>
  <c r="E22" i="4"/>
  <c r="F22" i="4"/>
  <c r="H23" i="4"/>
  <c r="C22" i="4"/>
  <c r="I22" i="4" s="1"/>
  <c r="F23" i="4" l="1"/>
  <c r="D23" i="4"/>
  <c r="J22" i="4" s="1"/>
  <c r="K23" i="4" s="1"/>
  <c r="E23" i="4"/>
  <c r="H24" i="4"/>
  <c r="C23" i="4"/>
  <c r="I23" i="4" s="1"/>
  <c r="F24" i="4" l="1"/>
  <c r="D24" i="4"/>
  <c r="J23" i="4" s="1"/>
  <c r="K24" i="4" s="1"/>
  <c r="E24" i="4"/>
  <c r="H25" i="4"/>
  <c r="C24" i="4"/>
  <c r="I24" i="4" s="1"/>
  <c r="F25" i="4" l="1"/>
  <c r="D25" i="4"/>
  <c r="J24" i="4" s="1"/>
  <c r="K25" i="4" s="1"/>
  <c r="E25" i="4"/>
  <c r="H26" i="4"/>
  <c r="C25" i="4"/>
  <c r="I25" i="4" s="1"/>
  <c r="E26" i="4" l="1"/>
  <c r="F26" i="4"/>
  <c r="D26" i="4"/>
  <c r="J25" i="4" s="1"/>
  <c r="K26" i="4" s="1"/>
  <c r="H27" i="4"/>
  <c r="C26" i="4"/>
  <c r="I26" i="4" s="1"/>
  <c r="E27" i="4" l="1"/>
  <c r="F27" i="4"/>
  <c r="D27" i="4"/>
  <c r="J26" i="4" s="1"/>
  <c r="K27" i="4" s="1"/>
  <c r="H28" i="4"/>
  <c r="C27" i="4"/>
  <c r="I27" i="4" s="1"/>
  <c r="E28" i="4" l="1"/>
  <c r="F28" i="4"/>
  <c r="D28" i="4"/>
  <c r="J27" i="4" s="1"/>
  <c r="K28" i="4" s="1"/>
  <c r="H29" i="4"/>
  <c r="C28" i="4"/>
  <c r="I28" i="4" s="1"/>
  <c r="D29" i="4" l="1"/>
  <c r="J28" i="4" s="1"/>
  <c r="K29" i="4" s="1"/>
  <c r="E29" i="4"/>
  <c r="F29" i="4"/>
  <c r="H30" i="4"/>
  <c r="C29" i="4"/>
  <c r="I29" i="4" s="1"/>
  <c r="D30" i="4" l="1"/>
  <c r="J29" i="4" s="1"/>
  <c r="K30" i="4" s="1"/>
  <c r="E30" i="4"/>
  <c r="F30" i="4"/>
  <c r="H31" i="4"/>
  <c r="C30" i="4"/>
  <c r="I30" i="4" s="1"/>
  <c r="F31" i="4" l="1"/>
  <c r="D31" i="4"/>
  <c r="J30" i="4" s="1"/>
  <c r="K31" i="4" s="1"/>
  <c r="E31" i="4"/>
  <c r="H32" i="4"/>
  <c r="C31" i="4"/>
  <c r="I31" i="4" s="1"/>
  <c r="F32" i="4" l="1"/>
  <c r="D32" i="4"/>
  <c r="J31" i="4" s="1"/>
  <c r="K32" i="4" s="1"/>
  <c r="E32" i="4"/>
  <c r="H33" i="4"/>
  <c r="C32" i="4"/>
  <c r="I32" i="4" s="1"/>
  <c r="F33" i="4" l="1"/>
  <c r="D33" i="4"/>
  <c r="J32" i="4" s="1"/>
  <c r="K33" i="4" s="1"/>
  <c r="E33" i="4"/>
  <c r="H34" i="4"/>
  <c r="C33" i="4"/>
  <c r="I33" i="4" s="1"/>
  <c r="E34" i="4" l="1"/>
  <c r="F34" i="4"/>
  <c r="D34" i="4"/>
  <c r="J33" i="4" s="1"/>
  <c r="K34" i="4" s="1"/>
  <c r="H35" i="4"/>
  <c r="C34" i="4"/>
  <c r="I34" i="4" s="1"/>
  <c r="E35" i="4" l="1"/>
  <c r="F35" i="4"/>
  <c r="D35" i="4"/>
  <c r="J34" i="4" s="1"/>
  <c r="K35" i="4" s="1"/>
  <c r="H36" i="4"/>
  <c r="C35" i="4"/>
  <c r="I35" i="4" s="1"/>
  <c r="E36" i="4" l="1"/>
  <c r="F36" i="4"/>
  <c r="D36" i="4"/>
  <c r="J35" i="4" s="1"/>
  <c r="K36" i="4" s="1"/>
  <c r="H37" i="4"/>
  <c r="C36" i="4"/>
  <c r="I36" i="4" s="1"/>
  <c r="D37" i="4" l="1"/>
  <c r="J36" i="4" s="1"/>
  <c r="K37" i="4" s="1"/>
  <c r="E37" i="4"/>
  <c r="F37" i="4"/>
  <c r="H38" i="4"/>
  <c r="C37" i="4"/>
  <c r="I37" i="4" s="1"/>
  <c r="D38" i="4" l="1"/>
  <c r="J37" i="4" s="1"/>
  <c r="K38" i="4" s="1"/>
  <c r="E38" i="4"/>
  <c r="F38" i="4"/>
  <c r="H39" i="4"/>
  <c r="C38" i="4"/>
  <c r="I38" i="4" s="1"/>
  <c r="F39" i="4" l="1"/>
  <c r="D39" i="4"/>
  <c r="J38" i="4" s="1"/>
  <c r="K39" i="4" s="1"/>
  <c r="E39" i="4"/>
  <c r="H40" i="4"/>
  <c r="C39" i="4"/>
  <c r="I39" i="4" s="1"/>
  <c r="F40" i="4" l="1"/>
  <c r="D40" i="4"/>
  <c r="J39" i="4" s="1"/>
  <c r="K40" i="4" s="1"/>
  <c r="E40" i="4"/>
  <c r="H41" i="4"/>
  <c r="C40" i="4"/>
  <c r="I40" i="4" s="1"/>
  <c r="F41" i="4" l="1"/>
  <c r="D41" i="4"/>
  <c r="J40" i="4" s="1"/>
  <c r="K41" i="4" s="1"/>
  <c r="E41" i="4"/>
  <c r="H42" i="4"/>
  <c r="C41" i="4"/>
  <c r="I41" i="4" s="1"/>
  <c r="E42" i="4" l="1"/>
  <c r="F42" i="4"/>
  <c r="D42" i="4"/>
  <c r="J41" i="4" s="1"/>
  <c r="K42" i="4" s="1"/>
  <c r="H43" i="4"/>
  <c r="C42" i="4"/>
  <c r="I42" i="4" s="1"/>
  <c r="E43" i="4" l="1"/>
  <c r="F43" i="4"/>
  <c r="D43" i="4"/>
  <c r="J42" i="4" s="1"/>
  <c r="K43" i="4" s="1"/>
  <c r="H44" i="4"/>
  <c r="C43" i="4"/>
  <c r="I43" i="4" s="1"/>
  <c r="E44" i="4" l="1"/>
  <c r="F44" i="4"/>
  <c r="D44" i="4"/>
  <c r="J43" i="4" s="1"/>
  <c r="K44" i="4" s="1"/>
  <c r="H45" i="4"/>
  <c r="C44" i="4"/>
  <c r="I44" i="4" s="1"/>
  <c r="D45" i="4" l="1"/>
  <c r="J44" i="4" s="1"/>
  <c r="K45" i="4" s="1"/>
  <c r="E45" i="4"/>
  <c r="F45" i="4"/>
  <c r="H46" i="4"/>
  <c r="C45" i="4"/>
  <c r="I45" i="4" s="1"/>
  <c r="D46" i="4" l="1"/>
  <c r="J45" i="4" s="1"/>
  <c r="K46" i="4" s="1"/>
  <c r="E46" i="4"/>
  <c r="F46" i="4"/>
  <c r="H47" i="4"/>
  <c r="C46" i="4"/>
  <c r="I46" i="4" s="1"/>
  <c r="F47" i="4" l="1"/>
  <c r="D47" i="4"/>
  <c r="J46" i="4" s="1"/>
  <c r="K47" i="4" s="1"/>
  <c r="E47" i="4"/>
  <c r="H48" i="4"/>
  <c r="C47" i="4"/>
  <c r="I47" i="4" s="1"/>
  <c r="F48" i="4" l="1"/>
  <c r="D48" i="4"/>
  <c r="J47" i="4" s="1"/>
  <c r="K48" i="4" s="1"/>
  <c r="E48" i="4"/>
  <c r="H49" i="4"/>
  <c r="C48" i="4"/>
  <c r="I48" i="4" s="1"/>
  <c r="F49" i="4" l="1"/>
  <c r="D49" i="4"/>
  <c r="J48" i="4" s="1"/>
  <c r="K49" i="4" s="1"/>
  <c r="E49" i="4"/>
  <c r="H50" i="4"/>
  <c r="C49" i="4"/>
  <c r="I49" i="4" s="1"/>
  <c r="E50" i="4" l="1"/>
  <c r="F50" i="4"/>
  <c r="D50" i="4"/>
  <c r="J49" i="4" s="1"/>
  <c r="K50" i="4" s="1"/>
  <c r="H51" i="4"/>
  <c r="C50" i="4"/>
  <c r="I50" i="4" s="1"/>
  <c r="E51" i="4" l="1"/>
  <c r="F51" i="4"/>
  <c r="D51" i="4"/>
  <c r="J50" i="4" s="1"/>
  <c r="K51" i="4" s="1"/>
  <c r="H52" i="4"/>
  <c r="C51" i="4"/>
  <c r="I51" i="4" s="1"/>
  <c r="E52" i="4" l="1"/>
  <c r="F52" i="4"/>
  <c r="D52" i="4"/>
  <c r="J51" i="4" s="1"/>
  <c r="K52" i="4" s="1"/>
  <c r="H53" i="4"/>
  <c r="C52" i="4"/>
  <c r="I52" i="4" s="1"/>
  <c r="D53" i="4" l="1"/>
  <c r="J52" i="4" s="1"/>
  <c r="K53" i="4" s="1"/>
  <c r="E53" i="4"/>
  <c r="F53" i="4"/>
  <c r="H54" i="4"/>
  <c r="C53" i="4"/>
  <c r="I53" i="4" s="1"/>
  <c r="D54" i="4" l="1"/>
  <c r="J53" i="4" s="1"/>
  <c r="K54" i="4" s="1"/>
  <c r="E54" i="4"/>
  <c r="F54" i="4"/>
  <c r="H55" i="4"/>
  <c r="C54" i="4"/>
  <c r="I54" i="4" s="1"/>
  <c r="F55" i="4" l="1"/>
  <c r="D55" i="4"/>
  <c r="J54" i="4" s="1"/>
  <c r="K55" i="4" s="1"/>
  <c r="E55" i="4"/>
  <c r="H56" i="4"/>
  <c r="C55" i="4"/>
  <c r="I55" i="4" s="1"/>
  <c r="F56" i="4" l="1"/>
  <c r="D56" i="4"/>
  <c r="J55" i="4" s="1"/>
  <c r="K56" i="4" s="1"/>
  <c r="E56" i="4"/>
  <c r="H57" i="4"/>
  <c r="C56" i="4"/>
  <c r="I56" i="4" s="1"/>
  <c r="F57" i="4" l="1"/>
  <c r="D57" i="4"/>
  <c r="J56" i="4" s="1"/>
  <c r="K57" i="4" s="1"/>
  <c r="E57" i="4"/>
  <c r="H58" i="4"/>
  <c r="C57" i="4"/>
  <c r="I57" i="4" s="1"/>
  <c r="E58" i="4" l="1"/>
  <c r="F58" i="4"/>
  <c r="D58" i="4"/>
  <c r="J57" i="4" s="1"/>
  <c r="K58" i="4" s="1"/>
  <c r="H59" i="4"/>
  <c r="C58" i="4"/>
  <c r="I58" i="4" s="1"/>
  <c r="E59" i="4" l="1"/>
  <c r="F59" i="4"/>
  <c r="D59" i="4"/>
  <c r="J58" i="4" s="1"/>
  <c r="K59" i="4" s="1"/>
  <c r="H60" i="4"/>
  <c r="C59" i="4"/>
  <c r="I59" i="4" s="1"/>
  <c r="E60" i="4" l="1"/>
  <c r="F60" i="4"/>
  <c r="D60" i="4"/>
  <c r="J59" i="4" s="1"/>
  <c r="K60" i="4" s="1"/>
  <c r="H61" i="4"/>
  <c r="C60" i="4"/>
  <c r="I60" i="4" s="1"/>
  <c r="D61" i="4" l="1"/>
  <c r="J60" i="4" s="1"/>
  <c r="K61" i="4" s="1"/>
  <c r="E61" i="4"/>
  <c r="F61" i="4"/>
  <c r="H62" i="4"/>
  <c r="C61" i="4"/>
  <c r="I61" i="4" s="1"/>
  <c r="D62" i="4" l="1"/>
  <c r="J61" i="4" s="1"/>
  <c r="K62" i="4" s="1"/>
  <c r="E62" i="4"/>
  <c r="F62" i="4"/>
  <c r="H63" i="4"/>
  <c r="C62" i="4"/>
  <c r="I62" i="4" s="1"/>
  <c r="F63" i="4" l="1"/>
  <c r="D63" i="4"/>
  <c r="J62" i="4" s="1"/>
  <c r="K63" i="4" s="1"/>
  <c r="E63" i="4"/>
  <c r="H64" i="4"/>
  <c r="C63" i="4"/>
  <c r="I63" i="4" s="1"/>
  <c r="F64" i="4" l="1"/>
  <c r="D64" i="4"/>
  <c r="J63" i="4" s="1"/>
  <c r="K64" i="4" s="1"/>
  <c r="E64" i="4"/>
  <c r="H65" i="4"/>
  <c r="C64" i="4"/>
  <c r="I64" i="4" s="1"/>
  <c r="F65" i="4" l="1"/>
  <c r="D65" i="4"/>
  <c r="J64" i="4" s="1"/>
  <c r="K65" i="4" s="1"/>
  <c r="E65" i="4"/>
  <c r="H66" i="4"/>
  <c r="C65" i="4"/>
  <c r="I65" i="4" s="1"/>
  <c r="E66" i="4" l="1"/>
  <c r="F66" i="4"/>
  <c r="D66" i="4"/>
  <c r="J65" i="4" s="1"/>
  <c r="K66" i="4" s="1"/>
  <c r="H67" i="4"/>
  <c r="C66" i="4"/>
  <c r="I66" i="4" s="1"/>
  <c r="E67" i="4" l="1"/>
  <c r="F67" i="4"/>
  <c r="D67" i="4"/>
  <c r="J66" i="4" s="1"/>
  <c r="K67" i="4" s="1"/>
  <c r="H68" i="4"/>
  <c r="C67" i="4"/>
  <c r="I67" i="4" s="1"/>
  <c r="E68" i="4" l="1"/>
  <c r="F68" i="4"/>
  <c r="D68" i="4"/>
  <c r="J67" i="4" s="1"/>
  <c r="K68" i="4" s="1"/>
  <c r="H69" i="4"/>
  <c r="C68" i="4"/>
  <c r="I68" i="4" s="1"/>
  <c r="D69" i="4" l="1"/>
  <c r="J68" i="4" s="1"/>
  <c r="K69" i="4" s="1"/>
  <c r="E69" i="4"/>
  <c r="F69" i="4"/>
  <c r="H70" i="4"/>
  <c r="C69" i="4"/>
  <c r="I69" i="4" s="1"/>
  <c r="D70" i="4" l="1"/>
  <c r="J69" i="4" s="1"/>
  <c r="K70" i="4" s="1"/>
  <c r="E70" i="4"/>
  <c r="F70" i="4"/>
  <c r="H71" i="4"/>
  <c r="C70" i="4"/>
  <c r="I70" i="4" s="1"/>
  <c r="F71" i="4" l="1"/>
  <c r="D71" i="4"/>
  <c r="J70" i="4" s="1"/>
  <c r="K71" i="4" s="1"/>
  <c r="E71" i="4"/>
  <c r="H72" i="4"/>
  <c r="C71" i="4"/>
  <c r="I71" i="4" s="1"/>
  <c r="F72" i="4" l="1"/>
  <c r="D72" i="4"/>
  <c r="J71" i="4" s="1"/>
  <c r="K72" i="4" s="1"/>
  <c r="E72" i="4"/>
  <c r="H73" i="4"/>
  <c r="C72" i="4"/>
  <c r="I72" i="4" s="1"/>
  <c r="F73" i="4" l="1"/>
  <c r="D73" i="4"/>
  <c r="J72" i="4" s="1"/>
  <c r="K73" i="4" s="1"/>
  <c r="E73" i="4"/>
  <c r="H74" i="4"/>
  <c r="C73" i="4"/>
  <c r="I73" i="4" s="1"/>
  <c r="E74" i="4" l="1"/>
  <c r="F74" i="4"/>
  <c r="D74" i="4"/>
  <c r="J73" i="4" s="1"/>
  <c r="K74" i="4" s="1"/>
  <c r="H75" i="4"/>
  <c r="C74" i="4"/>
  <c r="I74" i="4" s="1"/>
  <c r="E75" i="4" l="1"/>
  <c r="F75" i="4"/>
  <c r="D75" i="4"/>
  <c r="J74" i="4" s="1"/>
  <c r="K75" i="4" s="1"/>
  <c r="H76" i="4"/>
  <c r="C75" i="4"/>
  <c r="I75" i="4" s="1"/>
  <c r="E76" i="4" l="1"/>
  <c r="F76" i="4"/>
  <c r="D76" i="4"/>
  <c r="J75" i="4" s="1"/>
  <c r="K76" i="4" s="1"/>
  <c r="H77" i="4"/>
  <c r="C76" i="4"/>
  <c r="I76" i="4" s="1"/>
  <c r="D77" i="4" l="1"/>
  <c r="J76" i="4" s="1"/>
  <c r="K77" i="4" s="1"/>
  <c r="E77" i="4"/>
  <c r="F77" i="4"/>
  <c r="H78" i="4"/>
  <c r="C77" i="4"/>
  <c r="I77" i="4" s="1"/>
  <c r="D78" i="4" l="1"/>
  <c r="J77" i="4" s="1"/>
  <c r="K78" i="4" s="1"/>
  <c r="E78" i="4"/>
  <c r="F78" i="4"/>
  <c r="H79" i="4"/>
  <c r="C78" i="4"/>
  <c r="I78" i="4" s="1"/>
  <c r="F79" i="4" l="1"/>
  <c r="D79" i="4"/>
  <c r="J78" i="4" s="1"/>
  <c r="K79" i="4" s="1"/>
  <c r="E79" i="4"/>
  <c r="H80" i="4"/>
  <c r="C79" i="4"/>
  <c r="I79" i="4" s="1"/>
  <c r="F80" i="4" l="1"/>
  <c r="D80" i="4"/>
  <c r="J79" i="4" s="1"/>
  <c r="K80" i="4" s="1"/>
  <c r="E80" i="4"/>
  <c r="H81" i="4"/>
  <c r="C80" i="4"/>
  <c r="I80" i="4" s="1"/>
  <c r="F81" i="4" l="1"/>
  <c r="D81" i="4"/>
  <c r="J80" i="4" s="1"/>
  <c r="K81" i="4" s="1"/>
  <c r="E81" i="4"/>
  <c r="H82" i="4"/>
  <c r="C81" i="4"/>
  <c r="I81" i="4" s="1"/>
  <c r="E82" i="4" l="1"/>
  <c r="F82" i="4"/>
  <c r="D82" i="4"/>
  <c r="J81" i="4" s="1"/>
  <c r="K82" i="4" s="1"/>
  <c r="H83" i="4"/>
  <c r="C82" i="4"/>
  <c r="I82" i="4" s="1"/>
  <c r="E83" i="4" l="1"/>
  <c r="F83" i="4"/>
  <c r="D83" i="4"/>
  <c r="J82" i="4" s="1"/>
  <c r="K83" i="4" s="1"/>
  <c r="H84" i="4"/>
  <c r="C83" i="4"/>
  <c r="I83" i="4" s="1"/>
  <c r="E84" i="4" l="1"/>
  <c r="F84" i="4"/>
  <c r="D84" i="4"/>
  <c r="J83" i="4" s="1"/>
  <c r="K84" i="4" s="1"/>
  <c r="H85" i="4"/>
  <c r="C84" i="4"/>
  <c r="I84" i="4" s="1"/>
  <c r="D85" i="4" l="1"/>
  <c r="J84" i="4" s="1"/>
  <c r="K85" i="4" s="1"/>
  <c r="E85" i="4"/>
  <c r="F85" i="4"/>
  <c r="H86" i="4"/>
  <c r="C85" i="4"/>
  <c r="I85" i="4" s="1"/>
  <c r="D86" i="4" l="1"/>
  <c r="J85" i="4" s="1"/>
  <c r="K86" i="4" s="1"/>
  <c r="E86" i="4"/>
  <c r="F86" i="4"/>
  <c r="H87" i="4"/>
  <c r="C86" i="4"/>
  <c r="I86" i="4" s="1"/>
  <c r="F87" i="4" l="1"/>
  <c r="D87" i="4"/>
  <c r="J86" i="4" s="1"/>
  <c r="K87" i="4" s="1"/>
  <c r="E87" i="4"/>
  <c r="H88" i="4"/>
  <c r="C87" i="4"/>
  <c r="I87" i="4" s="1"/>
  <c r="F88" i="4" l="1"/>
  <c r="D88" i="4"/>
  <c r="J87" i="4" s="1"/>
  <c r="K88" i="4" s="1"/>
  <c r="E88" i="4"/>
  <c r="H89" i="4"/>
  <c r="C88" i="4"/>
  <c r="I88" i="4" s="1"/>
  <c r="F89" i="4" l="1"/>
  <c r="D89" i="4"/>
  <c r="J88" i="4" s="1"/>
  <c r="K89" i="4" s="1"/>
  <c r="E89" i="4"/>
  <c r="H90" i="4"/>
  <c r="C89" i="4"/>
  <c r="I89" i="4" s="1"/>
  <c r="E90" i="4" l="1"/>
  <c r="F90" i="4"/>
  <c r="D90" i="4"/>
  <c r="J89" i="4" s="1"/>
  <c r="K90" i="4" s="1"/>
  <c r="H91" i="4"/>
  <c r="C90" i="4"/>
  <c r="I90" i="4" s="1"/>
  <c r="E91" i="4" l="1"/>
  <c r="F91" i="4"/>
  <c r="D91" i="4"/>
  <c r="J90" i="4" s="1"/>
  <c r="K91" i="4" s="1"/>
  <c r="H92" i="4"/>
  <c r="C91" i="4"/>
  <c r="I91" i="4" s="1"/>
  <c r="E92" i="4" l="1"/>
  <c r="F92" i="4"/>
  <c r="D92" i="4"/>
  <c r="J91" i="4" s="1"/>
  <c r="K92" i="4" s="1"/>
  <c r="H93" i="4"/>
  <c r="C92" i="4"/>
  <c r="I92" i="4" s="1"/>
  <c r="D93" i="4" l="1"/>
  <c r="J92" i="4" s="1"/>
  <c r="K93" i="4" s="1"/>
  <c r="E93" i="4"/>
  <c r="F93" i="4"/>
  <c r="H94" i="4"/>
  <c r="C93" i="4"/>
  <c r="I93" i="4" s="1"/>
  <c r="D94" i="4" l="1"/>
  <c r="J93" i="4" s="1"/>
  <c r="K94" i="4" s="1"/>
  <c r="E94" i="4"/>
  <c r="F94" i="4"/>
  <c r="H95" i="4"/>
  <c r="C94" i="4"/>
  <c r="I94" i="4" s="1"/>
  <c r="F95" i="4" l="1"/>
  <c r="D95" i="4"/>
  <c r="J94" i="4" s="1"/>
  <c r="K95" i="4" s="1"/>
  <c r="E95" i="4"/>
  <c r="H96" i="4"/>
  <c r="C95" i="4"/>
  <c r="I95" i="4" s="1"/>
  <c r="F96" i="4" l="1"/>
  <c r="D96" i="4"/>
  <c r="J95" i="4" s="1"/>
  <c r="K96" i="4" s="1"/>
  <c r="E96" i="4"/>
  <c r="H97" i="4"/>
  <c r="C96" i="4"/>
  <c r="I96" i="4" s="1"/>
  <c r="F97" i="4" l="1"/>
  <c r="D97" i="4"/>
  <c r="J96" i="4" s="1"/>
  <c r="K97" i="4" s="1"/>
  <c r="E97" i="4"/>
  <c r="H98" i="4"/>
  <c r="C97" i="4"/>
  <c r="I97" i="4" s="1"/>
  <c r="E98" i="4" l="1"/>
  <c r="F98" i="4"/>
  <c r="D98" i="4"/>
  <c r="J97" i="4" s="1"/>
  <c r="K98" i="4" s="1"/>
  <c r="H99" i="4"/>
  <c r="C98" i="4"/>
  <c r="I98" i="4" s="1"/>
  <c r="E99" i="4" l="1"/>
  <c r="F99" i="4"/>
  <c r="D99" i="4"/>
  <c r="J98" i="4" s="1"/>
  <c r="K99" i="4" s="1"/>
  <c r="H100" i="4"/>
  <c r="C99" i="4"/>
  <c r="I99" i="4" s="1"/>
  <c r="E100" i="4" l="1"/>
  <c r="F100" i="4"/>
  <c r="D100" i="4"/>
  <c r="J99" i="4" s="1"/>
  <c r="K100" i="4" s="1"/>
  <c r="H101" i="4"/>
  <c r="C100" i="4"/>
  <c r="I100" i="4" s="1"/>
  <c r="D101" i="4" l="1"/>
  <c r="J100" i="4" s="1"/>
  <c r="K101" i="4" s="1"/>
  <c r="E101" i="4"/>
  <c r="F101" i="4"/>
  <c r="H102" i="4"/>
  <c r="C101" i="4"/>
  <c r="I101" i="4" s="1"/>
  <c r="D102" i="4" l="1"/>
  <c r="J101" i="4" s="1"/>
  <c r="K102" i="4" s="1"/>
  <c r="E102" i="4"/>
  <c r="F102" i="4"/>
  <c r="H103" i="4"/>
  <c r="C102" i="4"/>
  <c r="I102" i="4" s="1"/>
  <c r="F103" i="4" l="1"/>
  <c r="D103" i="4"/>
  <c r="J102" i="4" s="1"/>
  <c r="K103" i="4" s="1"/>
  <c r="E103" i="4"/>
  <c r="H104" i="4"/>
  <c r="C103" i="4"/>
  <c r="I103" i="4" s="1"/>
  <c r="F104" i="4" l="1"/>
  <c r="D104" i="4"/>
  <c r="J103" i="4" s="1"/>
  <c r="K104" i="4" s="1"/>
  <c r="E104" i="4"/>
  <c r="C104" i="4"/>
  <c r="I104" i="4" s="1"/>
  <c r="H105" i="4"/>
  <c r="F105" i="4" l="1"/>
  <c r="D105" i="4"/>
  <c r="J104" i="4" s="1"/>
  <c r="K105" i="4" s="1"/>
  <c r="E105" i="4"/>
  <c r="H106" i="4"/>
  <c r="C105" i="4"/>
  <c r="I105" i="4" s="1"/>
  <c r="E106" i="4" l="1"/>
  <c r="F106" i="4"/>
  <c r="D106" i="4"/>
  <c r="J105" i="4" s="1"/>
  <c r="K106" i="4" s="1"/>
  <c r="H107" i="4"/>
  <c r="C106" i="4"/>
  <c r="I106" i="4" s="1"/>
  <c r="E107" i="4" l="1"/>
  <c r="F107" i="4"/>
  <c r="D107" i="4"/>
  <c r="J106" i="4" s="1"/>
  <c r="K107" i="4" s="1"/>
  <c r="H108" i="4"/>
  <c r="C107" i="4"/>
  <c r="I107" i="4" s="1"/>
  <c r="E108" i="4" l="1"/>
  <c r="F108" i="4"/>
  <c r="D108" i="4"/>
  <c r="J107" i="4" s="1"/>
  <c r="K108" i="4" s="1"/>
  <c r="H109" i="4"/>
  <c r="C108" i="4"/>
  <c r="I108" i="4" s="1"/>
  <c r="D109" i="4" l="1"/>
  <c r="J108" i="4" s="1"/>
  <c r="K109" i="4" s="1"/>
  <c r="E109" i="4"/>
  <c r="F109" i="4"/>
  <c r="H110" i="4"/>
  <c r="C109" i="4"/>
  <c r="I109" i="4" s="1"/>
  <c r="D110" i="4" l="1"/>
  <c r="J109" i="4" s="1"/>
  <c r="K110" i="4" s="1"/>
  <c r="E110" i="4"/>
  <c r="F110" i="4"/>
  <c r="C110" i="4"/>
  <c r="I110" i="4" s="1"/>
  <c r="H111" i="4" l="1"/>
  <c r="C111" i="4"/>
  <c r="F111" i="4"/>
  <c r="D111" i="4"/>
  <c r="E111" i="4"/>
  <c r="J110" i="4" l="1"/>
  <c r="K111" i="4" s="1"/>
  <c r="I111" i="4"/>
</calcChain>
</file>

<file path=xl/sharedStrings.xml><?xml version="1.0" encoding="utf-8"?>
<sst xmlns="http://schemas.openxmlformats.org/spreadsheetml/2006/main" count="49" uniqueCount="45">
  <si>
    <t>a = 0.0015682186339224598</t>
  </si>
  <si>
    <t>b = -0.050091737961468104</t>
  </si>
  <si>
    <t>c = 0.4009748982947853</t>
  </si>
  <si>
    <t>d = -99.15109870117323</t>
  </si>
  <si>
    <t>a = 0.0001019636855810116</t>
  </si>
  <si>
    <t>b = 0.013287323402942895</t>
  </si>
  <si>
    <t>c = -0.4884743457383478</t>
  </si>
  <si>
    <t>d = 4.013065750835223</t>
  </si>
  <si>
    <t>a = -1.874008852295998e-7</t>
  </si>
  <si>
    <t>b = 0.0001614815824764911</t>
  </si>
  <si>
    <t>c = -0.005039357743453099</t>
  </si>
  <si>
    <t>d = 0.04013472251091687</t>
  </si>
  <si>
    <t>Simulated</t>
  </si>
  <si>
    <t>Calculated</t>
  </si>
  <si>
    <t>L</t>
  </si>
  <si>
    <t>q</t>
  </si>
  <si>
    <t>EI</t>
  </si>
  <si>
    <t>h</t>
  </si>
  <si>
    <t>A</t>
  </si>
  <si>
    <t>B</t>
  </si>
  <si>
    <t>C</t>
  </si>
  <si>
    <t>D</t>
  </si>
  <si>
    <t>E</t>
  </si>
  <si>
    <t>x</t>
  </si>
  <si>
    <t>w</t>
  </si>
  <si>
    <t>w'</t>
  </si>
  <si>
    <t>w''</t>
  </si>
  <si>
    <t>w'''</t>
  </si>
  <si>
    <t>w''''</t>
  </si>
  <si>
    <t>L4</t>
  </si>
  <si>
    <t>L_calc</t>
  </si>
  <si>
    <t>Track base</t>
  </si>
  <si>
    <t>Guide strips</t>
  </si>
  <si>
    <t>Area</t>
  </si>
  <si>
    <t>Centroid</t>
  </si>
  <si>
    <t>2nd moment about own centroid</t>
  </si>
  <si>
    <t>Distance to combined centroid</t>
  </si>
  <si>
    <t>Adjusted 2nd moment</t>
  </si>
  <si>
    <t>lbf ft^2</t>
  </si>
  <si>
    <t>lbf/ft</t>
  </si>
  <si>
    <t>ft</t>
  </si>
  <si>
    <t>w (factored)</t>
  </si>
  <si>
    <t>diff</t>
  </si>
  <si>
    <t>arc length</t>
  </si>
  <si>
    <t>trap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</si>
</sst>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Sheet1!$A$6:$A$115</c:f>
              <c:numCache>
                <c:formatCode>General</c:formatCode>
                <c:ptCount val="110"/>
                <c:pt idx="0">
                  <c:v>0</c:v>
                </c:pt>
                <c:pt idx="1">
                  <c:v>0.64</c:v>
                </c:pt>
                <c:pt idx="2">
                  <c:v>1.28</c:v>
                </c:pt>
                <c:pt idx="3">
                  <c:v>1.92</c:v>
                </c:pt>
                <c:pt idx="4">
                  <c:v>2.56</c:v>
                </c:pt>
                <c:pt idx="5">
                  <c:v>3.2</c:v>
                </c:pt>
                <c:pt idx="6">
                  <c:v>3.84</c:v>
                </c:pt>
                <c:pt idx="7">
                  <c:v>4.4800000000000004</c:v>
                </c:pt>
                <c:pt idx="8">
                  <c:v>5.12</c:v>
                </c:pt>
                <c:pt idx="9">
                  <c:v>5.76</c:v>
                </c:pt>
                <c:pt idx="10">
                  <c:v>6.4</c:v>
                </c:pt>
                <c:pt idx="11">
                  <c:v>7.04</c:v>
                </c:pt>
                <c:pt idx="12">
                  <c:v>7.68</c:v>
                </c:pt>
                <c:pt idx="13">
                  <c:v>8.32</c:v>
                </c:pt>
                <c:pt idx="14">
                  <c:v>8.9600000000000009</c:v>
                </c:pt>
                <c:pt idx="15">
                  <c:v>9.6</c:v>
                </c:pt>
                <c:pt idx="16">
                  <c:v>10.24</c:v>
                </c:pt>
                <c:pt idx="17">
                  <c:v>10.88</c:v>
                </c:pt>
                <c:pt idx="18">
                  <c:v>11.52</c:v>
                </c:pt>
                <c:pt idx="19">
                  <c:v>12.16</c:v>
                </c:pt>
                <c:pt idx="20">
                  <c:v>12.8</c:v>
                </c:pt>
                <c:pt idx="21">
                  <c:v>13.44</c:v>
                </c:pt>
                <c:pt idx="22">
                  <c:v>14.08</c:v>
                </c:pt>
                <c:pt idx="23">
                  <c:v>14.72</c:v>
                </c:pt>
                <c:pt idx="24">
                  <c:v>15.36</c:v>
                </c:pt>
                <c:pt idx="25">
                  <c:v>16</c:v>
                </c:pt>
                <c:pt idx="26">
                  <c:v>16.64</c:v>
                </c:pt>
                <c:pt idx="27">
                  <c:v>17.28</c:v>
                </c:pt>
                <c:pt idx="28">
                  <c:v>17.920000000000002</c:v>
                </c:pt>
                <c:pt idx="29">
                  <c:v>18.559999999999999</c:v>
                </c:pt>
                <c:pt idx="30">
                  <c:v>19.2</c:v>
                </c:pt>
                <c:pt idx="31">
                  <c:v>19.84</c:v>
                </c:pt>
                <c:pt idx="32">
                  <c:v>20.48</c:v>
                </c:pt>
                <c:pt idx="33">
                  <c:v>21.12</c:v>
                </c:pt>
                <c:pt idx="34">
                  <c:v>21.76</c:v>
                </c:pt>
                <c:pt idx="35">
                  <c:v>22.4</c:v>
                </c:pt>
                <c:pt idx="36">
                  <c:v>23.04</c:v>
                </c:pt>
                <c:pt idx="37">
                  <c:v>23.68</c:v>
                </c:pt>
                <c:pt idx="38">
                  <c:v>24.32</c:v>
                </c:pt>
                <c:pt idx="39">
                  <c:v>24.96</c:v>
                </c:pt>
                <c:pt idx="40">
                  <c:v>25.6</c:v>
                </c:pt>
                <c:pt idx="41">
                  <c:v>26.24</c:v>
                </c:pt>
                <c:pt idx="42">
                  <c:v>26.88</c:v>
                </c:pt>
                <c:pt idx="43">
                  <c:v>27.52</c:v>
                </c:pt>
                <c:pt idx="44">
                  <c:v>28.16</c:v>
                </c:pt>
                <c:pt idx="45">
                  <c:v>28.8</c:v>
                </c:pt>
                <c:pt idx="46">
                  <c:v>29.44</c:v>
                </c:pt>
                <c:pt idx="47">
                  <c:v>30.08</c:v>
                </c:pt>
                <c:pt idx="48">
                  <c:v>30.72</c:v>
                </c:pt>
                <c:pt idx="49">
                  <c:v>31.36</c:v>
                </c:pt>
                <c:pt idx="50">
                  <c:v>32</c:v>
                </c:pt>
                <c:pt idx="51">
                  <c:v>32.64</c:v>
                </c:pt>
              </c:numCache>
            </c:numRef>
          </c:xVal>
          <c:yVal>
            <c:numRef>
              <c:f>Sheet1!$B$6:$B$115</c:f>
              <c:numCache>
                <c:formatCode>General</c:formatCode>
                <c:ptCount val="110"/>
                <c:pt idx="0">
                  <c:v>0.04</c:v>
                </c:pt>
                <c:pt idx="1">
                  <c:v>3.6970291798079598E-2</c:v>
                </c:pt>
                <c:pt idx="2">
                  <c:v>3.4000171053310699E-2</c:v>
                </c:pt>
                <c:pt idx="3">
                  <c:v>3.1122562829767501E-2</c:v>
                </c:pt>
                <c:pt idx="4">
                  <c:v>2.8355673519613302E-2</c:v>
                </c:pt>
                <c:pt idx="5">
                  <c:v>2.5709571392993898E-2</c:v>
                </c:pt>
                <c:pt idx="6">
                  <c:v>2.3189816962112999E-2</c:v>
                </c:pt>
                <c:pt idx="7">
                  <c:v>2.0799472371108001E-2</c:v>
                </c:pt>
                <c:pt idx="8">
                  <c:v>1.85402150525E-2</c:v>
                </c:pt>
                <c:pt idx="9">
                  <c:v>1.6412953266430198E-2</c:v>
                </c:pt>
                <c:pt idx="10">
                  <c:v>1.44181630089387E-2</c:v>
                </c:pt>
                <c:pt idx="11">
                  <c:v>1.2556068538454901E-2</c:v>
                </c:pt>
                <c:pt idx="12">
                  <c:v>1.0826734756404501E-2</c:v>
                </c:pt>
                <c:pt idx="13">
                  <c:v>9.2301088559702208E-3</c:v>
                </c:pt>
                <c:pt idx="14">
                  <c:v>7.7660306152011896E-3</c:v>
                </c:pt>
                <c:pt idx="15">
                  <c:v>6.4342199309439701E-3</c:v>
                </c:pt>
                <c:pt idx="16">
                  <c:v>5.2342434547285599E-3</c:v>
                </c:pt>
                <c:pt idx="17">
                  <c:v>4.1654574240993104E-3</c:v>
                </c:pt>
                <c:pt idx="18">
                  <c:v>3.2269195585387699E-3</c:v>
                </c:pt>
                <c:pt idx="19">
                  <c:v>2.4172581647731398E-3</c:v>
                </c:pt>
                <c:pt idx="20">
                  <c:v>1.7344804800987501E-3</c:v>
                </c:pt>
                <c:pt idx="21">
                  <c:v>1.1756938246910099E-3</c:v>
                </c:pt>
                <c:pt idx="22">
                  <c:v>7.3670113296753497E-4</c:v>
                </c:pt>
                <c:pt idx="23">
                  <c:v>4.1141523463707002E-4</c:v>
                </c:pt>
                <c:pt idx="24">
                  <c:v>1.9101150363061699E-4</c:v>
                </c:pt>
                <c:pt idx="25">
                  <c:v>6.2702802232543603E-5</c:v>
                </c:pt>
                <c:pt idx="26">
                  <c:v>7.9691320561146695E-6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D-4034-AF97-8A5969984CE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Sheet1!$A$6:$A$115</c:f>
              <c:numCache>
                <c:formatCode>General</c:formatCode>
                <c:ptCount val="110"/>
                <c:pt idx="0">
                  <c:v>0</c:v>
                </c:pt>
                <c:pt idx="1">
                  <c:v>0.64</c:v>
                </c:pt>
                <c:pt idx="2">
                  <c:v>1.28</c:v>
                </c:pt>
                <c:pt idx="3">
                  <c:v>1.92</c:v>
                </c:pt>
                <c:pt idx="4">
                  <c:v>2.56</c:v>
                </c:pt>
                <c:pt idx="5">
                  <c:v>3.2</c:v>
                </c:pt>
                <c:pt idx="6">
                  <c:v>3.84</c:v>
                </c:pt>
                <c:pt idx="7">
                  <c:v>4.4800000000000004</c:v>
                </c:pt>
                <c:pt idx="8">
                  <c:v>5.12</c:v>
                </c:pt>
                <c:pt idx="9">
                  <c:v>5.76</c:v>
                </c:pt>
                <c:pt idx="10">
                  <c:v>6.4</c:v>
                </c:pt>
                <c:pt idx="11">
                  <c:v>7.04</c:v>
                </c:pt>
                <c:pt idx="12">
                  <c:v>7.68</c:v>
                </c:pt>
                <c:pt idx="13">
                  <c:v>8.32</c:v>
                </c:pt>
                <c:pt idx="14">
                  <c:v>8.9600000000000009</c:v>
                </c:pt>
                <c:pt idx="15">
                  <c:v>9.6</c:v>
                </c:pt>
                <c:pt idx="16">
                  <c:v>10.24</c:v>
                </c:pt>
                <c:pt idx="17">
                  <c:v>10.88</c:v>
                </c:pt>
                <c:pt idx="18">
                  <c:v>11.52</c:v>
                </c:pt>
                <c:pt idx="19">
                  <c:v>12.16</c:v>
                </c:pt>
                <c:pt idx="20">
                  <c:v>12.8</c:v>
                </c:pt>
                <c:pt idx="21">
                  <c:v>13.44</c:v>
                </c:pt>
                <c:pt idx="22">
                  <c:v>14.08</c:v>
                </c:pt>
                <c:pt idx="23">
                  <c:v>14.72</c:v>
                </c:pt>
                <c:pt idx="24">
                  <c:v>15.36</c:v>
                </c:pt>
                <c:pt idx="25">
                  <c:v>16</c:v>
                </c:pt>
                <c:pt idx="26">
                  <c:v>16.64</c:v>
                </c:pt>
                <c:pt idx="27">
                  <c:v>17.28</c:v>
                </c:pt>
                <c:pt idx="28">
                  <c:v>17.920000000000002</c:v>
                </c:pt>
                <c:pt idx="29">
                  <c:v>18.559999999999999</c:v>
                </c:pt>
                <c:pt idx="30">
                  <c:v>19.2</c:v>
                </c:pt>
                <c:pt idx="31">
                  <c:v>19.84</c:v>
                </c:pt>
                <c:pt idx="32">
                  <c:v>20.48</c:v>
                </c:pt>
                <c:pt idx="33">
                  <c:v>21.12</c:v>
                </c:pt>
                <c:pt idx="34">
                  <c:v>21.76</c:v>
                </c:pt>
                <c:pt idx="35">
                  <c:v>22.4</c:v>
                </c:pt>
                <c:pt idx="36">
                  <c:v>23.04</c:v>
                </c:pt>
                <c:pt idx="37">
                  <c:v>23.68</c:v>
                </c:pt>
                <c:pt idx="38">
                  <c:v>24.32</c:v>
                </c:pt>
                <c:pt idx="39">
                  <c:v>24.96</c:v>
                </c:pt>
                <c:pt idx="40">
                  <c:v>25.6</c:v>
                </c:pt>
                <c:pt idx="41">
                  <c:v>26.24</c:v>
                </c:pt>
                <c:pt idx="42">
                  <c:v>26.88</c:v>
                </c:pt>
                <c:pt idx="43">
                  <c:v>27.52</c:v>
                </c:pt>
                <c:pt idx="44">
                  <c:v>28.16</c:v>
                </c:pt>
                <c:pt idx="45">
                  <c:v>28.8</c:v>
                </c:pt>
                <c:pt idx="46">
                  <c:v>29.44</c:v>
                </c:pt>
                <c:pt idx="47">
                  <c:v>30.08</c:v>
                </c:pt>
                <c:pt idx="48">
                  <c:v>30.72</c:v>
                </c:pt>
                <c:pt idx="49">
                  <c:v>31.36</c:v>
                </c:pt>
                <c:pt idx="50">
                  <c:v>32</c:v>
                </c:pt>
                <c:pt idx="51">
                  <c:v>32.64</c:v>
                </c:pt>
              </c:numCache>
            </c:numRef>
          </c:xVal>
          <c:yVal>
            <c:numRef>
              <c:f>Sheet1!$C$6:$C$115</c:f>
              <c:numCache>
                <c:formatCode>General</c:formatCode>
                <c:ptCount val="110"/>
                <c:pt idx="0">
                  <c:v>0.04</c:v>
                </c:pt>
                <c:pt idx="1">
                  <c:v>3.7512711442839825E-2</c:v>
                </c:pt>
                <c:pt idx="2">
                  <c:v>3.5036403428294373E-2</c:v>
                </c:pt>
                <c:pt idx="3">
                  <c:v>3.2581657041454548E-2</c:v>
                </c:pt>
                <c:pt idx="4">
                  <c:v>3.0158617595567101E-2</c:v>
                </c:pt>
                <c:pt idx="5">
                  <c:v>2.7776994632034632E-2</c:v>
                </c:pt>
                <c:pt idx="6">
                  <c:v>2.544606192041559E-2</c:v>
                </c:pt>
                <c:pt idx="7">
                  <c:v>2.3174657458424241E-2</c:v>
                </c:pt>
                <c:pt idx="8">
                  <c:v>2.0971183471930735E-2</c:v>
                </c:pt>
                <c:pt idx="9">
                  <c:v>1.8843606414961037E-2</c:v>
                </c:pt>
                <c:pt idx="10">
                  <c:v>1.6799456969696969E-2</c:v>
                </c:pt>
                <c:pt idx="11">
                  <c:v>1.4845830046476192E-2</c:v>
                </c:pt>
                <c:pt idx="12">
                  <c:v>1.2989384783792211E-2</c:v>
                </c:pt>
                <c:pt idx="13">
                  <c:v>1.1236344548294374E-2</c:v>
                </c:pt>
                <c:pt idx="14">
                  <c:v>9.592496934787878E-3</c:v>
                </c:pt>
                <c:pt idx="15">
                  <c:v>8.0631937662337672E-3</c:v>
                </c:pt>
                <c:pt idx="16">
                  <c:v>6.6533510937489201E-3</c:v>
                </c:pt>
                <c:pt idx="17">
                  <c:v>5.3674491966060611E-3</c:v>
                </c:pt>
                <c:pt idx="18">
                  <c:v>4.2095325822337631E-3</c:v>
                </c:pt>
                <c:pt idx="19">
                  <c:v>3.1832099862164481E-3</c:v>
                </c:pt>
                <c:pt idx="20">
                  <c:v>2.291654372294373E-3</c:v>
                </c:pt>
                <c:pt idx="21">
                  <c:v>1.5376029323636367E-3</c:v>
                </c:pt>
                <c:pt idx="22">
                  <c:v>9.2335708647618697E-4</c:v>
                </c:pt>
                <c:pt idx="23">
                  <c:v>4.5078248283983435E-4</c:v>
                </c:pt>
                <c:pt idx="24">
                  <c:v>1.2130899781818971E-4</c:v>
                </c:pt>
                <c:pt idx="25">
                  <c:v>-6.4069264069266385E-5</c:v>
                </c:pt>
                <c:pt idx="26">
                  <c:v>-1.0479397014718367E-4</c:v>
                </c:pt>
                <c:pt idx="27">
                  <c:v>-7.4255958441848957E-7</c:v>
                </c:pt>
                <c:pt idx="28">
                  <c:v>2.4777175660606332E-4</c:v>
                </c:pt>
                <c:pt idx="29">
                  <c:v>6.3999999556709625E-4</c:v>
                </c:pt>
                <c:pt idx="30">
                  <c:v>1.1747574025973984E-3</c:v>
                </c:pt>
                <c:pt idx="31">
                  <c:v>1.8504234511515158E-3</c:v>
                </c:pt>
                <c:pt idx="32">
                  <c:v>2.6649418428398228E-3</c:v>
                </c:pt>
                <c:pt idx="33">
                  <c:v>3.6158205074285771E-3</c:v>
                </c:pt>
                <c:pt idx="34">
                  <c:v>4.7001316028398368E-3</c:v>
                </c:pt>
                <c:pt idx="35">
                  <c:v>5.914511515151516E-3</c:v>
                </c:pt>
                <c:pt idx="36">
                  <c:v>7.2551608585973981E-3</c:v>
                </c:pt>
                <c:pt idx="37">
                  <c:v>8.717844475567095E-3</c:v>
                </c:pt>
                <c:pt idx="38">
                  <c:v>1.029789143660606E-2</c:v>
                </c:pt>
                <c:pt idx="39">
                  <c:v>1.199019504041559E-2</c:v>
                </c:pt>
                <c:pt idx="40">
                  <c:v>1.3789212813852827E-2</c:v>
                </c:pt>
                <c:pt idx="41">
                  <c:v>1.5688966511930729E-2</c:v>
                </c:pt>
                <c:pt idx="42">
                  <c:v>1.7683042117818178E-2</c:v>
                </c:pt>
                <c:pt idx="43">
                  <c:v>1.9764589842839811E-2</c:v>
                </c:pt>
                <c:pt idx="44">
                  <c:v>2.1926324126476191E-2</c:v>
                </c:pt>
                <c:pt idx="45">
                  <c:v>2.4160523636363632E-2</c:v>
                </c:pt>
                <c:pt idx="46">
                  <c:v>2.6459031268294374E-2</c:v>
                </c:pt>
                <c:pt idx="47">
                  <c:v>2.8813254146216459E-2</c:v>
                </c:pt>
                <c:pt idx="48">
                  <c:v>3.1214163622233775E-2</c:v>
                </c:pt>
                <c:pt idx="49">
                  <c:v>3.3652295276606056E-2</c:v>
                </c:pt>
                <c:pt idx="50">
                  <c:v>3.6117748917748917E-2</c:v>
                </c:pt>
                <c:pt idx="51">
                  <c:v>3.8600188582233762E-2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D-4034-AF97-8A5969984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628336"/>
        <c:axId val="468628664"/>
      </c:scatterChart>
      <c:valAx>
        <c:axId val="46862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628664"/>
        <c:crosses val="autoZero"/>
        <c:crossBetween val="midCat"/>
      </c:valAx>
      <c:valAx>
        <c:axId val="46862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62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Sheet4!$B$11:$B$157</c:f>
              <c:numCache>
                <c:formatCode>General</c:formatCode>
                <c:ptCount val="147"/>
                <c:pt idx="0">
                  <c:v>0</c:v>
                </c:pt>
                <c:pt idx="1">
                  <c:v>0.16</c:v>
                </c:pt>
                <c:pt idx="2">
                  <c:v>0.32</c:v>
                </c:pt>
                <c:pt idx="3">
                  <c:v>0.48</c:v>
                </c:pt>
                <c:pt idx="4">
                  <c:v>0.64</c:v>
                </c:pt>
                <c:pt idx="5">
                  <c:v>0.8</c:v>
                </c:pt>
                <c:pt idx="6">
                  <c:v>0.96000000000000008</c:v>
                </c:pt>
                <c:pt idx="7">
                  <c:v>1.1200000000000001</c:v>
                </c:pt>
                <c:pt idx="8">
                  <c:v>1.28</c:v>
                </c:pt>
                <c:pt idx="9">
                  <c:v>1.44</c:v>
                </c:pt>
                <c:pt idx="10">
                  <c:v>1.5999999999999999</c:v>
                </c:pt>
                <c:pt idx="11">
                  <c:v>1.7599999999999998</c:v>
                </c:pt>
                <c:pt idx="12">
                  <c:v>1.9199999999999997</c:v>
                </c:pt>
                <c:pt idx="13">
                  <c:v>2.0799999999999996</c:v>
                </c:pt>
                <c:pt idx="14">
                  <c:v>2.2399999999999998</c:v>
                </c:pt>
                <c:pt idx="15">
                  <c:v>2.4</c:v>
                </c:pt>
                <c:pt idx="16">
                  <c:v>2.56</c:v>
                </c:pt>
                <c:pt idx="17">
                  <c:v>2.72</c:v>
                </c:pt>
                <c:pt idx="18">
                  <c:v>2.8800000000000003</c:v>
                </c:pt>
                <c:pt idx="19">
                  <c:v>3.0400000000000005</c:v>
                </c:pt>
                <c:pt idx="20">
                  <c:v>3.2000000000000006</c:v>
                </c:pt>
                <c:pt idx="21">
                  <c:v>3.3600000000000008</c:v>
                </c:pt>
                <c:pt idx="22">
                  <c:v>3.5200000000000009</c:v>
                </c:pt>
                <c:pt idx="23">
                  <c:v>3.680000000000001</c:v>
                </c:pt>
                <c:pt idx="24">
                  <c:v>3.8400000000000012</c:v>
                </c:pt>
                <c:pt idx="25">
                  <c:v>4.0000000000000009</c:v>
                </c:pt>
                <c:pt idx="26">
                  <c:v>4.160000000000001</c:v>
                </c:pt>
                <c:pt idx="27">
                  <c:v>4.3200000000000012</c:v>
                </c:pt>
                <c:pt idx="28">
                  <c:v>4.4800000000000013</c:v>
                </c:pt>
                <c:pt idx="29">
                  <c:v>4.6400000000000015</c:v>
                </c:pt>
                <c:pt idx="30">
                  <c:v>4.8000000000000016</c:v>
                </c:pt>
                <c:pt idx="31">
                  <c:v>4.9600000000000017</c:v>
                </c:pt>
                <c:pt idx="32">
                  <c:v>5.1200000000000019</c:v>
                </c:pt>
                <c:pt idx="33">
                  <c:v>5.280000000000002</c:v>
                </c:pt>
                <c:pt idx="34">
                  <c:v>5.4400000000000022</c:v>
                </c:pt>
                <c:pt idx="35">
                  <c:v>5.6000000000000023</c:v>
                </c:pt>
                <c:pt idx="36">
                  <c:v>5.7600000000000025</c:v>
                </c:pt>
                <c:pt idx="37">
                  <c:v>5.9200000000000026</c:v>
                </c:pt>
                <c:pt idx="38">
                  <c:v>6.0800000000000027</c:v>
                </c:pt>
                <c:pt idx="39">
                  <c:v>6.2400000000000029</c:v>
                </c:pt>
                <c:pt idx="40">
                  <c:v>6.400000000000003</c:v>
                </c:pt>
                <c:pt idx="41">
                  <c:v>6.5600000000000032</c:v>
                </c:pt>
                <c:pt idx="42">
                  <c:v>6.7200000000000033</c:v>
                </c:pt>
                <c:pt idx="43">
                  <c:v>6.8800000000000034</c:v>
                </c:pt>
                <c:pt idx="44">
                  <c:v>7.0400000000000036</c:v>
                </c:pt>
                <c:pt idx="45">
                  <c:v>7.2000000000000037</c:v>
                </c:pt>
                <c:pt idx="46">
                  <c:v>7.3600000000000039</c:v>
                </c:pt>
                <c:pt idx="47">
                  <c:v>7.520000000000004</c:v>
                </c:pt>
                <c:pt idx="48">
                  <c:v>7.6800000000000042</c:v>
                </c:pt>
                <c:pt idx="49">
                  <c:v>7.8400000000000043</c:v>
                </c:pt>
                <c:pt idx="50">
                  <c:v>8.0000000000000036</c:v>
                </c:pt>
                <c:pt idx="51">
                  <c:v>8.1600000000000037</c:v>
                </c:pt>
                <c:pt idx="52">
                  <c:v>8.3200000000000038</c:v>
                </c:pt>
                <c:pt idx="53">
                  <c:v>8.480000000000004</c:v>
                </c:pt>
                <c:pt idx="54">
                  <c:v>8.6400000000000041</c:v>
                </c:pt>
                <c:pt idx="55">
                  <c:v>8.8000000000000043</c:v>
                </c:pt>
                <c:pt idx="56">
                  <c:v>8.9600000000000044</c:v>
                </c:pt>
                <c:pt idx="57">
                  <c:v>9.1200000000000045</c:v>
                </c:pt>
                <c:pt idx="58">
                  <c:v>9.2800000000000047</c:v>
                </c:pt>
                <c:pt idx="59">
                  <c:v>9.4400000000000048</c:v>
                </c:pt>
                <c:pt idx="60">
                  <c:v>9.600000000000005</c:v>
                </c:pt>
                <c:pt idx="61">
                  <c:v>9.7600000000000051</c:v>
                </c:pt>
                <c:pt idx="62">
                  <c:v>9.9200000000000053</c:v>
                </c:pt>
                <c:pt idx="63">
                  <c:v>10.080000000000005</c:v>
                </c:pt>
                <c:pt idx="64">
                  <c:v>10.240000000000006</c:v>
                </c:pt>
                <c:pt idx="65">
                  <c:v>10.400000000000006</c:v>
                </c:pt>
                <c:pt idx="66">
                  <c:v>10.560000000000006</c:v>
                </c:pt>
                <c:pt idx="67">
                  <c:v>10.720000000000006</c:v>
                </c:pt>
                <c:pt idx="68">
                  <c:v>10.880000000000006</c:v>
                </c:pt>
                <c:pt idx="69">
                  <c:v>11.040000000000006</c:v>
                </c:pt>
                <c:pt idx="70">
                  <c:v>11.200000000000006</c:v>
                </c:pt>
                <c:pt idx="71">
                  <c:v>11.360000000000007</c:v>
                </c:pt>
                <c:pt idx="72">
                  <c:v>11.520000000000007</c:v>
                </c:pt>
                <c:pt idx="73">
                  <c:v>11.680000000000007</c:v>
                </c:pt>
                <c:pt idx="74">
                  <c:v>11.840000000000007</c:v>
                </c:pt>
                <c:pt idx="75">
                  <c:v>12.000000000000007</c:v>
                </c:pt>
                <c:pt idx="76">
                  <c:v>12.160000000000007</c:v>
                </c:pt>
                <c:pt idx="77">
                  <c:v>12.320000000000007</c:v>
                </c:pt>
                <c:pt idx="78">
                  <c:v>12.480000000000008</c:v>
                </c:pt>
                <c:pt idx="79">
                  <c:v>12.640000000000008</c:v>
                </c:pt>
                <c:pt idx="80">
                  <c:v>12.800000000000008</c:v>
                </c:pt>
                <c:pt idx="81">
                  <c:v>12.960000000000008</c:v>
                </c:pt>
                <c:pt idx="82">
                  <c:v>13.120000000000008</c:v>
                </c:pt>
                <c:pt idx="83">
                  <c:v>13.280000000000008</c:v>
                </c:pt>
                <c:pt idx="84">
                  <c:v>13.440000000000008</c:v>
                </c:pt>
                <c:pt idx="85">
                  <c:v>13.600000000000009</c:v>
                </c:pt>
                <c:pt idx="86">
                  <c:v>13.760000000000009</c:v>
                </c:pt>
                <c:pt idx="87">
                  <c:v>13.920000000000009</c:v>
                </c:pt>
                <c:pt idx="88">
                  <c:v>14.080000000000009</c:v>
                </c:pt>
                <c:pt idx="89">
                  <c:v>14.240000000000009</c:v>
                </c:pt>
                <c:pt idx="90">
                  <c:v>14.400000000000009</c:v>
                </c:pt>
                <c:pt idx="91">
                  <c:v>14.560000000000009</c:v>
                </c:pt>
                <c:pt idx="92">
                  <c:v>14.72000000000001</c:v>
                </c:pt>
                <c:pt idx="93">
                  <c:v>14.88000000000001</c:v>
                </c:pt>
                <c:pt idx="94">
                  <c:v>15.04000000000001</c:v>
                </c:pt>
                <c:pt idx="95">
                  <c:v>15.20000000000001</c:v>
                </c:pt>
                <c:pt idx="96">
                  <c:v>15.36000000000001</c:v>
                </c:pt>
                <c:pt idx="97">
                  <c:v>15.52000000000001</c:v>
                </c:pt>
                <c:pt idx="98">
                  <c:v>15.68000000000001</c:v>
                </c:pt>
                <c:pt idx="99">
                  <c:v>15.840000000000011</c:v>
                </c:pt>
                <c:pt idx="100">
                  <c:v>16.000000000000011</c:v>
                </c:pt>
              </c:numCache>
            </c:numRef>
          </c:xVal>
          <c:yVal>
            <c:numRef>
              <c:f>Sheet4!$C$11:$C$157</c:f>
              <c:numCache>
                <c:formatCode>General</c:formatCode>
                <c:ptCount val="147"/>
                <c:pt idx="0">
                  <c:v>4</c:v>
                </c:pt>
                <c:pt idx="1">
                  <c:v>3.9223880472951285</c:v>
                </c:pt>
                <c:pt idx="2">
                  <c:v>3.8448193158183761</c:v>
                </c:pt>
                <c:pt idx="3">
                  <c:v>3.7673362515529196</c:v>
                </c:pt>
                <c:pt idx="4">
                  <c:v>3.6899804547601818</c:v>
                </c:pt>
                <c:pt idx="5">
                  <c:v>3.6127926799798287</c:v>
                </c:pt>
                <c:pt idx="6">
                  <c:v>3.5358128360297729</c:v>
                </c:pt>
                <c:pt idx="7">
                  <c:v>3.4590799860061723</c:v>
                </c:pt>
                <c:pt idx="8">
                  <c:v>3.3826323472834292</c:v>
                </c:pt>
                <c:pt idx="9">
                  <c:v>3.3065072915141904</c:v>
                </c:pt>
                <c:pt idx="10">
                  <c:v>3.2307413446293496</c:v>
                </c:pt>
                <c:pt idx="11">
                  <c:v>3.1553701868380433</c:v>
                </c:pt>
                <c:pt idx="12">
                  <c:v>3.0804286526276554</c:v>
                </c:pt>
                <c:pt idx="13">
                  <c:v>3.0059507307638125</c:v>
                </c:pt>
                <c:pt idx="14">
                  <c:v>2.9319695642903882</c:v>
                </c:pt>
                <c:pt idx="15">
                  <c:v>2.8585174505295008</c:v>
                </c:pt>
                <c:pt idx="16">
                  <c:v>2.7856258410815129</c:v>
                </c:pt>
                <c:pt idx="17">
                  <c:v>2.7133253418250325</c:v>
                </c:pt>
                <c:pt idx="18">
                  <c:v>2.6416457129169135</c:v>
                </c:pt>
                <c:pt idx="19">
                  <c:v>2.5706158687922538</c:v>
                </c:pt>
                <c:pt idx="20">
                  <c:v>2.5002638781643971</c:v>
                </c:pt>
                <c:pt idx="21">
                  <c:v>2.4306169640249315</c:v>
                </c:pt>
                <c:pt idx="22">
                  <c:v>2.3617015036436912</c:v>
                </c:pt>
                <c:pt idx="23">
                  <c:v>2.2935430285687541</c:v>
                </c:pt>
                <c:pt idx="24">
                  <c:v>2.2261662246264442</c:v>
                </c:pt>
                <c:pt idx="25">
                  <c:v>2.159594931921331</c:v>
                </c:pt>
                <c:pt idx="26">
                  <c:v>2.0938521448362275</c:v>
                </c:pt>
                <c:pt idx="27">
                  <c:v>2.0289600120321931</c:v>
                </c:pt>
                <c:pt idx="28">
                  <c:v>1.964939836448532</c:v>
                </c:pt>
                <c:pt idx="29">
                  <c:v>1.9018120753027934</c:v>
                </c:pt>
                <c:pt idx="30">
                  <c:v>1.8395963400907709</c:v>
                </c:pt>
                <c:pt idx="31">
                  <c:v>1.7783113965865045</c:v>
                </c:pt>
                <c:pt idx="32">
                  <c:v>1.7179751648422785</c:v>
                </c:pt>
                <c:pt idx="33">
                  <c:v>1.6586047191886224</c:v>
                </c:pt>
                <c:pt idx="34">
                  <c:v>1.6002162882343112</c:v>
                </c:pt>
                <c:pt idx="35">
                  <c:v>1.5428252548663632</c:v>
                </c:pt>
                <c:pt idx="36">
                  <c:v>1.4864461562500444</c:v>
                </c:pt>
                <c:pt idx="37">
                  <c:v>1.4310926838288647</c:v>
                </c:pt>
                <c:pt idx="38">
                  <c:v>1.3767776833245779</c:v>
                </c:pt>
                <c:pt idx="39">
                  <c:v>1.323513154737185</c:v>
                </c:pt>
                <c:pt idx="40">
                  <c:v>1.2713102523449309</c:v>
                </c:pt>
                <c:pt idx="41">
                  <c:v>1.2201792847043058</c:v>
                </c:pt>
                <c:pt idx="42">
                  <c:v>1.1701297146500442</c:v>
                </c:pt>
                <c:pt idx="43">
                  <c:v>1.1211701592951275</c:v>
                </c:pt>
                <c:pt idx="44">
                  <c:v>1.0733083900307805</c:v>
                </c:pt>
                <c:pt idx="45">
                  <c:v>1.0265513325264739</c:v>
                </c:pt>
                <c:pt idx="46">
                  <c:v>0.98090506672992372</c:v>
                </c:pt>
                <c:pt idx="47">
                  <c:v>0.93637482686708928</c:v>
                </c:pt>
                <c:pt idx="48">
                  <c:v>0.89296500144217728</c:v>
                </c:pt>
                <c:pt idx="49">
                  <c:v>0.85067913323763911</c:v>
                </c:pt>
                <c:pt idx="50">
                  <c:v>0.80951991931416956</c:v>
                </c:pt>
                <c:pt idx="51">
                  <c:v>0.76948921101071033</c:v>
                </c:pt>
                <c:pt idx="52">
                  <c:v>0.7305880139444465</c:v>
                </c:pt>
                <c:pt idx="53">
                  <c:v>0.69281648801081097</c:v>
                </c:pt>
                <c:pt idx="54">
                  <c:v>0.65617394738347867</c:v>
                </c:pt>
                <c:pt idx="55">
                  <c:v>0.62065886051437102</c:v>
                </c:pt>
                <c:pt idx="56">
                  <c:v>0.58626885013365504</c:v>
                </c:pt>
                <c:pt idx="57">
                  <c:v>0.5530006932497411</c:v>
                </c:pt>
                <c:pt idx="58">
                  <c:v>0.52085032114928831</c:v>
                </c:pt>
                <c:pt idx="59">
                  <c:v>0.48981281939719512</c:v>
                </c:pt>
                <c:pt idx="60">
                  <c:v>0.45988242783661004</c:v>
                </c:pt>
                <c:pt idx="61">
                  <c:v>0.43105254058892495</c:v>
                </c:pt>
                <c:pt idx="62">
                  <c:v>0.40331570605377554</c:v>
                </c:pt>
                <c:pt idx="63">
                  <c:v>0.3766636269090462</c:v>
                </c:pt>
                <c:pt idx="64">
                  <c:v>0.35108716011086161</c:v>
                </c:pt>
                <c:pt idx="65">
                  <c:v>0.32657631689359423</c:v>
                </c:pt>
                <c:pt idx="66">
                  <c:v>0.30312026276986259</c:v>
                </c:pt>
                <c:pt idx="67">
                  <c:v>0.28070731753052947</c:v>
                </c:pt>
                <c:pt idx="68">
                  <c:v>0.25932495524469967</c:v>
                </c:pt>
                <c:pt idx="69">
                  <c:v>0.23895980425972674</c:v>
                </c:pt>
                <c:pt idx="70">
                  <c:v>0.21959764720120933</c:v>
                </c:pt>
                <c:pt idx="71">
                  <c:v>0.20122342097298951</c:v>
                </c:pt>
                <c:pt idx="72">
                  <c:v>0.18382121675715579</c:v>
                </c:pt>
                <c:pt idx="73">
                  <c:v>0.16737428001403876</c:v>
                </c:pt>
                <c:pt idx="74">
                  <c:v>0.15186501048221812</c:v>
                </c:pt>
                <c:pt idx="75">
                  <c:v>0.13727496217851698</c:v>
                </c:pt>
                <c:pt idx="76">
                  <c:v>0.12358484339800224</c:v>
                </c:pt>
                <c:pt idx="77">
                  <c:v>0.11077451671398864</c:v>
                </c:pt>
                <c:pt idx="78">
                  <c:v>9.8822998978032928E-2</c:v>
                </c:pt>
                <c:pt idx="79">
                  <c:v>8.7708461319938813E-2</c:v>
                </c:pt>
                <c:pt idx="80">
                  <c:v>7.7408229147755137E-2</c:v>
                </c:pt>
                <c:pt idx="81">
                  <c:v>6.7898782147775005E-2</c:v>
                </c:pt>
                <c:pt idx="82">
                  <c:v>5.9155754284538453E-2</c:v>
                </c:pt>
                <c:pt idx="83">
                  <c:v>5.1153933800826223E-2</c:v>
                </c:pt>
                <c:pt idx="84">
                  <c:v>4.3867263217670427E-2</c:v>
                </c:pt>
                <c:pt idx="85">
                  <c:v>3.7268839334341664E-2</c:v>
                </c:pt>
                <c:pt idx="86">
                  <c:v>3.1330913228360124E-2</c:v>
                </c:pt>
                <c:pt idx="87">
                  <c:v>2.6024890255491151E-2</c:v>
                </c:pt>
                <c:pt idx="88">
                  <c:v>2.1321330049743015E-2</c:v>
                </c:pt>
                <c:pt idx="89">
                  <c:v>1.7189946523368693E-2</c:v>
                </c:pt>
                <c:pt idx="90">
                  <c:v>1.3599607866868091E-2</c:v>
                </c:pt>
                <c:pt idx="91">
                  <c:v>1.0518336548985818E-2</c:v>
                </c:pt>
                <c:pt idx="92">
                  <c:v>7.9133093167125246E-3</c:v>
                </c:pt>
                <c:pt idx="93">
                  <c:v>5.7508571952804566E-3</c:v>
                </c:pt>
                <c:pt idx="94">
                  <c:v>3.9964654881692319E-3</c:v>
                </c:pt>
                <c:pt idx="95">
                  <c:v>2.6147737771053947E-3</c:v>
                </c:pt>
                <c:pt idx="96">
                  <c:v>1.569575922056643E-3</c:v>
                </c:pt>
                <c:pt idx="97">
                  <c:v>8.2382006124070983E-4</c:v>
                </c:pt>
                <c:pt idx="98">
                  <c:v>3.3960861111426155E-4</c:v>
                </c:pt>
                <c:pt idx="99">
                  <c:v>7.8198266384443826E-5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92-4DDE-BCA6-C5024BDFF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95696"/>
        <c:axId val="47519372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Sheet4!$B$11:$B$157</c15:sqref>
                        </c15:formulaRef>
                      </c:ext>
                    </c:extLst>
                    <c:numCache>
                      <c:formatCode>General</c:formatCode>
                      <c:ptCount val="147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0.32</c:v>
                      </c:pt>
                      <c:pt idx="3">
                        <c:v>0.48</c:v>
                      </c:pt>
                      <c:pt idx="4">
                        <c:v>0.64</c:v>
                      </c:pt>
                      <c:pt idx="5">
                        <c:v>0.8</c:v>
                      </c:pt>
                      <c:pt idx="6">
                        <c:v>0.96000000000000008</c:v>
                      </c:pt>
                      <c:pt idx="7">
                        <c:v>1.1200000000000001</c:v>
                      </c:pt>
                      <c:pt idx="8">
                        <c:v>1.28</c:v>
                      </c:pt>
                      <c:pt idx="9">
                        <c:v>1.44</c:v>
                      </c:pt>
                      <c:pt idx="10">
                        <c:v>1.5999999999999999</c:v>
                      </c:pt>
                      <c:pt idx="11">
                        <c:v>1.7599999999999998</c:v>
                      </c:pt>
                      <c:pt idx="12">
                        <c:v>1.9199999999999997</c:v>
                      </c:pt>
                      <c:pt idx="13">
                        <c:v>2.0799999999999996</c:v>
                      </c:pt>
                      <c:pt idx="14">
                        <c:v>2.2399999999999998</c:v>
                      </c:pt>
                      <c:pt idx="15">
                        <c:v>2.4</c:v>
                      </c:pt>
                      <c:pt idx="16">
                        <c:v>2.56</c:v>
                      </c:pt>
                      <c:pt idx="17">
                        <c:v>2.72</c:v>
                      </c:pt>
                      <c:pt idx="18">
                        <c:v>2.8800000000000003</c:v>
                      </c:pt>
                      <c:pt idx="19">
                        <c:v>3.0400000000000005</c:v>
                      </c:pt>
                      <c:pt idx="20">
                        <c:v>3.2000000000000006</c:v>
                      </c:pt>
                      <c:pt idx="21">
                        <c:v>3.3600000000000008</c:v>
                      </c:pt>
                      <c:pt idx="22">
                        <c:v>3.5200000000000009</c:v>
                      </c:pt>
                      <c:pt idx="23">
                        <c:v>3.680000000000001</c:v>
                      </c:pt>
                      <c:pt idx="24">
                        <c:v>3.8400000000000012</c:v>
                      </c:pt>
                      <c:pt idx="25">
                        <c:v>4.0000000000000009</c:v>
                      </c:pt>
                      <c:pt idx="26">
                        <c:v>4.160000000000001</c:v>
                      </c:pt>
                      <c:pt idx="27">
                        <c:v>4.3200000000000012</c:v>
                      </c:pt>
                      <c:pt idx="28">
                        <c:v>4.4800000000000013</c:v>
                      </c:pt>
                      <c:pt idx="29">
                        <c:v>4.6400000000000015</c:v>
                      </c:pt>
                      <c:pt idx="30">
                        <c:v>4.8000000000000016</c:v>
                      </c:pt>
                      <c:pt idx="31">
                        <c:v>4.9600000000000017</c:v>
                      </c:pt>
                      <c:pt idx="32">
                        <c:v>5.1200000000000019</c:v>
                      </c:pt>
                      <c:pt idx="33">
                        <c:v>5.280000000000002</c:v>
                      </c:pt>
                      <c:pt idx="34">
                        <c:v>5.4400000000000022</c:v>
                      </c:pt>
                      <c:pt idx="35">
                        <c:v>5.6000000000000023</c:v>
                      </c:pt>
                      <c:pt idx="36">
                        <c:v>5.7600000000000025</c:v>
                      </c:pt>
                      <c:pt idx="37">
                        <c:v>5.9200000000000026</c:v>
                      </c:pt>
                      <c:pt idx="38">
                        <c:v>6.0800000000000027</c:v>
                      </c:pt>
                      <c:pt idx="39">
                        <c:v>6.2400000000000029</c:v>
                      </c:pt>
                      <c:pt idx="40">
                        <c:v>6.400000000000003</c:v>
                      </c:pt>
                      <c:pt idx="41">
                        <c:v>6.5600000000000032</c:v>
                      </c:pt>
                      <c:pt idx="42">
                        <c:v>6.7200000000000033</c:v>
                      </c:pt>
                      <c:pt idx="43">
                        <c:v>6.8800000000000034</c:v>
                      </c:pt>
                      <c:pt idx="44">
                        <c:v>7.0400000000000036</c:v>
                      </c:pt>
                      <c:pt idx="45">
                        <c:v>7.2000000000000037</c:v>
                      </c:pt>
                      <c:pt idx="46">
                        <c:v>7.3600000000000039</c:v>
                      </c:pt>
                      <c:pt idx="47">
                        <c:v>7.520000000000004</c:v>
                      </c:pt>
                      <c:pt idx="48">
                        <c:v>7.6800000000000042</c:v>
                      </c:pt>
                      <c:pt idx="49">
                        <c:v>7.8400000000000043</c:v>
                      </c:pt>
                      <c:pt idx="50">
                        <c:v>8.0000000000000036</c:v>
                      </c:pt>
                      <c:pt idx="51">
                        <c:v>8.1600000000000037</c:v>
                      </c:pt>
                      <c:pt idx="52">
                        <c:v>8.3200000000000038</c:v>
                      </c:pt>
                      <c:pt idx="53">
                        <c:v>8.480000000000004</c:v>
                      </c:pt>
                      <c:pt idx="54">
                        <c:v>8.6400000000000041</c:v>
                      </c:pt>
                      <c:pt idx="55">
                        <c:v>8.8000000000000043</c:v>
                      </c:pt>
                      <c:pt idx="56">
                        <c:v>8.9600000000000044</c:v>
                      </c:pt>
                      <c:pt idx="57">
                        <c:v>9.1200000000000045</c:v>
                      </c:pt>
                      <c:pt idx="58">
                        <c:v>9.2800000000000047</c:v>
                      </c:pt>
                      <c:pt idx="59">
                        <c:v>9.4400000000000048</c:v>
                      </c:pt>
                      <c:pt idx="60">
                        <c:v>9.600000000000005</c:v>
                      </c:pt>
                      <c:pt idx="61">
                        <c:v>9.7600000000000051</c:v>
                      </c:pt>
                      <c:pt idx="62">
                        <c:v>9.9200000000000053</c:v>
                      </c:pt>
                      <c:pt idx="63">
                        <c:v>10.080000000000005</c:v>
                      </c:pt>
                      <c:pt idx="64">
                        <c:v>10.240000000000006</c:v>
                      </c:pt>
                      <c:pt idx="65">
                        <c:v>10.400000000000006</c:v>
                      </c:pt>
                      <c:pt idx="66">
                        <c:v>10.560000000000006</c:v>
                      </c:pt>
                      <c:pt idx="67">
                        <c:v>10.720000000000006</c:v>
                      </c:pt>
                      <c:pt idx="68">
                        <c:v>10.880000000000006</c:v>
                      </c:pt>
                      <c:pt idx="69">
                        <c:v>11.040000000000006</c:v>
                      </c:pt>
                      <c:pt idx="70">
                        <c:v>11.200000000000006</c:v>
                      </c:pt>
                      <c:pt idx="71">
                        <c:v>11.360000000000007</c:v>
                      </c:pt>
                      <c:pt idx="72">
                        <c:v>11.520000000000007</c:v>
                      </c:pt>
                      <c:pt idx="73">
                        <c:v>11.680000000000007</c:v>
                      </c:pt>
                      <c:pt idx="74">
                        <c:v>11.840000000000007</c:v>
                      </c:pt>
                      <c:pt idx="75">
                        <c:v>12.000000000000007</c:v>
                      </c:pt>
                      <c:pt idx="76">
                        <c:v>12.160000000000007</c:v>
                      </c:pt>
                      <c:pt idx="77">
                        <c:v>12.320000000000007</c:v>
                      </c:pt>
                      <c:pt idx="78">
                        <c:v>12.480000000000008</c:v>
                      </c:pt>
                      <c:pt idx="79">
                        <c:v>12.640000000000008</c:v>
                      </c:pt>
                      <c:pt idx="80">
                        <c:v>12.800000000000008</c:v>
                      </c:pt>
                      <c:pt idx="81">
                        <c:v>12.960000000000008</c:v>
                      </c:pt>
                      <c:pt idx="82">
                        <c:v>13.120000000000008</c:v>
                      </c:pt>
                      <c:pt idx="83">
                        <c:v>13.280000000000008</c:v>
                      </c:pt>
                      <c:pt idx="84">
                        <c:v>13.440000000000008</c:v>
                      </c:pt>
                      <c:pt idx="85">
                        <c:v>13.600000000000009</c:v>
                      </c:pt>
                      <c:pt idx="86">
                        <c:v>13.760000000000009</c:v>
                      </c:pt>
                      <c:pt idx="87">
                        <c:v>13.920000000000009</c:v>
                      </c:pt>
                      <c:pt idx="88">
                        <c:v>14.080000000000009</c:v>
                      </c:pt>
                      <c:pt idx="89">
                        <c:v>14.240000000000009</c:v>
                      </c:pt>
                      <c:pt idx="90">
                        <c:v>14.400000000000009</c:v>
                      </c:pt>
                      <c:pt idx="91">
                        <c:v>14.560000000000009</c:v>
                      </c:pt>
                      <c:pt idx="92">
                        <c:v>14.72000000000001</c:v>
                      </c:pt>
                      <c:pt idx="93">
                        <c:v>14.88000000000001</c:v>
                      </c:pt>
                      <c:pt idx="94">
                        <c:v>15.04000000000001</c:v>
                      </c:pt>
                      <c:pt idx="95">
                        <c:v>15.20000000000001</c:v>
                      </c:pt>
                      <c:pt idx="96">
                        <c:v>15.36000000000001</c:v>
                      </c:pt>
                      <c:pt idx="97">
                        <c:v>15.52000000000001</c:v>
                      </c:pt>
                      <c:pt idx="98">
                        <c:v>15.68000000000001</c:v>
                      </c:pt>
                      <c:pt idx="99">
                        <c:v>15.840000000000011</c:v>
                      </c:pt>
                      <c:pt idx="100">
                        <c:v>16.000000000000011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Sheet4!$D$11:$D$157</c15:sqref>
                        </c15:formulaRef>
                      </c:ext>
                    </c:extLst>
                    <c:numCache>
                      <c:formatCode>General</c:formatCode>
                      <c:ptCount val="147"/>
                      <c:pt idx="0">
                        <c:v>-0.48512002017145739</c:v>
                      </c:pt>
                      <c:pt idx="1">
                        <c:v>-0.48498429311346447</c:v>
                      </c:pt>
                      <c:pt idx="2">
                        <c:v>-0.48458063578013111</c:v>
                      </c:pt>
                      <c:pt idx="3">
                        <c:v>-0.48391433393242561</c:v>
                      </c:pt>
                      <c:pt idx="4">
                        <c:v>-0.48299067333131618</c:v>
                      </c:pt>
                      <c:pt idx="5">
                        <c:v>-0.48181493973777106</c:v>
                      </c:pt>
                      <c:pt idx="6">
                        <c:v>-0.48039241891275847</c:v>
                      </c:pt>
                      <c:pt idx="7">
                        <c:v>-0.47872839661724659</c:v>
                      </c:pt>
                      <c:pt idx="8">
                        <c:v>-0.47682815861220373</c:v>
                      </c:pt>
                      <c:pt idx="9">
                        <c:v>-0.47469699065859811</c:v>
                      </c:pt>
                      <c:pt idx="10">
                        <c:v>-0.4723401785173979</c:v>
                      </c:pt>
                      <c:pt idx="11">
                        <c:v>-0.46976300794957138</c:v>
                      </c:pt>
                      <c:pt idx="12">
                        <c:v>-0.46697076471608673</c:v>
                      </c:pt>
                      <c:pt idx="13">
                        <c:v>-0.46396873457791227</c:v>
                      </c:pt>
                      <c:pt idx="14">
                        <c:v>-0.46076220329601614</c:v>
                      </c:pt>
                      <c:pt idx="15">
                        <c:v>-0.45735645663136659</c:v>
                      </c:pt>
                      <c:pt idx="16">
                        <c:v>-0.45375678034493194</c:v>
                      </c:pt>
                      <c:pt idx="17">
                        <c:v>-0.44996846019768028</c:v>
                      </c:pt>
                      <c:pt idx="18">
                        <c:v>-0.4459967819505799</c:v>
                      </c:pt>
                      <c:pt idx="19">
                        <c:v>-0.44184703136459907</c:v>
                      </c:pt>
                      <c:pt idx="20">
                        <c:v>-0.43752449420070599</c:v>
                      </c:pt>
                      <c:pt idx="21">
                        <c:v>-0.43303445621986886</c:v>
                      </c:pt>
                      <c:pt idx="22">
                        <c:v>-0.42838220318305598</c:v>
                      </c:pt>
                      <c:pt idx="23">
                        <c:v>-0.42357302085123549</c:v>
                      </c:pt>
                      <c:pt idx="24">
                        <c:v>-0.41861219498537566</c:v>
                      </c:pt>
                      <c:pt idx="25">
                        <c:v>-0.41350501134644474</c:v>
                      </c:pt>
                      <c:pt idx="26">
                        <c:v>-0.40825675569541098</c:v>
                      </c:pt>
                      <c:pt idx="27">
                        <c:v>-0.40287271379324252</c:v>
                      </c:pt>
                      <c:pt idx="28">
                        <c:v>-0.39735817140090768</c:v>
                      </c:pt>
                      <c:pt idx="29">
                        <c:v>-0.39171841427937465</c:v>
                      </c:pt>
                      <c:pt idx="30">
                        <c:v>-0.38595872818961163</c:v>
                      </c:pt>
                      <c:pt idx="31">
                        <c:v>-0.38008439889258694</c:v>
                      </c:pt>
                      <c:pt idx="32">
                        <c:v>-0.37410071214926871</c:v>
                      </c:pt>
                      <c:pt idx="33">
                        <c:v>-0.36801295372062526</c:v>
                      </c:pt>
                      <c:pt idx="34">
                        <c:v>-0.36182640936762472</c:v>
                      </c:pt>
                      <c:pt idx="35">
                        <c:v>-0.35554636485123542</c:v>
                      </c:pt>
                      <c:pt idx="36">
                        <c:v>-0.34917810593242549</c:v>
                      </c:pt>
                      <c:pt idx="37">
                        <c:v>-0.34272691837216329</c:v>
                      </c:pt>
                      <c:pt idx="38">
                        <c:v>-0.33619808793141692</c:v>
                      </c:pt>
                      <c:pt idx="39">
                        <c:v>-0.32959690037115469</c:v>
                      </c:pt>
                      <c:pt idx="40">
                        <c:v>-0.32292864145234479</c:v>
                      </c:pt>
                      <c:pt idx="41">
                        <c:v>-0.31619859693595548</c:v>
                      </c:pt>
                      <c:pt idx="42">
                        <c:v>-0.30941205258295501</c:v>
                      </c:pt>
                      <c:pt idx="43">
                        <c:v>-0.30257429415431153</c:v>
                      </c:pt>
                      <c:pt idx="44">
                        <c:v>-0.29569060741099329</c:v>
                      </c:pt>
                      <c:pt idx="45">
                        <c:v>-0.2887662781139686</c:v>
                      </c:pt>
                      <c:pt idx="46">
                        <c:v>-0.28180659202420555</c:v>
                      </c:pt>
                      <c:pt idx="47">
                        <c:v>-0.2748168349026725</c:v>
                      </c:pt>
                      <c:pt idx="48">
                        <c:v>-0.26780229251033771</c:v>
                      </c:pt>
                      <c:pt idx="49">
                        <c:v>-0.26076825060816922</c:v>
                      </c:pt>
                      <c:pt idx="50">
                        <c:v>-0.25371999495713554</c:v>
                      </c:pt>
                      <c:pt idx="51">
                        <c:v>-0.24666281131820458</c:v>
                      </c:pt>
                      <c:pt idx="52">
                        <c:v>-0.23960198545234479</c:v>
                      </c:pt>
                      <c:pt idx="53">
                        <c:v>-0.23254280312052428</c:v>
                      </c:pt>
                      <c:pt idx="54">
                        <c:v>-0.22549055008371138</c:v>
                      </c:pt>
                      <c:pt idx="55">
                        <c:v>-0.21845051210287425</c:v>
                      </c:pt>
                      <c:pt idx="56">
                        <c:v>-0.21142797493898113</c:v>
                      </c:pt>
                      <c:pt idx="57">
                        <c:v>-0.20442822435300034</c:v>
                      </c:pt>
                      <c:pt idx="58">
                        <c:v>-0.19745654610589991</c:v>
                      </c:pt>
                      <c:pt idx="59">
                        <c:v>-0.19051822595864831</c:v>
                      </c:pt>
                      <c:pt idx="60">
                        <c:v>-0.18361854967221358</c:v>
                      </c:pt>
                      <c:pt idx="61">
                        <c:v>-0.17676280300756408</c:v>
                      </c:pt>
                      <c:pt idx="62">
                        <c:v>-0.16995627172566796</c:v>
                      </c:pt>
                      <c:pt idx="63">
                        <c:v>-0.16320424158749353</c:v>
                      </c:pt>
                      <c:pt idx="64">
                        <c:v>-0.15651199835400886</c:v>
                      </c:pt>
                      <c:pt idx="65">
                        <c:v>-0.14988482778618228</c:v>
                      </c:pt>
                      <c:pt idx="66">
                        <c:v>-0.1433280156449821</c:v>
                      </c:pt>
                      <c:pt idx="67">
                        <c:v>-0.13684684769137639</c:v>
                      </c:pt>
                      <c:pt idx="68">
                        <c:v>-0.13044660968633365</c:v>
                      </c:pt>
                      <c:pt idx="69">
                        <c:v>-0.12413258739082178</c:v>
                      </c:pt>
                      <c:pt idx="70">
                        <c:v>-0.1179100665658091</c:v>
                      </c:pt>
                      <c:pt idx="71">
                        <c:v>-0.11178433297226403</c:v>
                      </c:pt>
                      <c:pt idx="72">
                        <c:v>-0.10576067237115461</c:v>
                      </c:pt>
                      <c:pt idx="73">
                        <c:v>-9.9844370523449077E-2</c:v>
                      </c:pt>
                      <c:pt idx="74">
                        <c:v>-9.4040713190115699E-2</c:v>
                      </c:pt>
                      <c:pt idx="75">
                        <c:v>-8.8354986132122837E-2</c:v>
                      </c:pt>
                      <c:pt idx="76">
                        <c:v>-8.2792475110438524E-2</c:v>
                      </c:pt>
                      <c:pt idx="77">
                        <c:v>-7.7358465886030958E-2</c:v>
                      </c:pt>
                      <c:pt idx="78">
                        <c:v>-7.2058244219868672E-2</c:v>
                      </c:pt>
                      <c:pt idx="79">
                        <c:v>-6.6897095872919532E-2</c:v>
                      </c:pt>
                      <c:pt idx="80">
                        <c:v>-6.1880306606152069E-2</c:v>
                      </c:pt>
                      <c:pt idx="81">
                        <c:v>-5.7013162180534316E-2</c:v>
                      </c:pt>
                      <c:pt idx="82">
                        <c:v>-5.2300948357034582E-2</c:v>
                      </c:pt>
                      <c:pt idx="83">
                        <c:v>-4.7748950896621123E-2</c:v>
                      </c:pt>
                      <c:pt idx="84">
                        <c:v>-4.336245556026197E-2</c:v>
                      </c:pt>
                      <c:pt idx="85">
                        <c:v>-3.91467481089256E-2</c:v>
                      </c:pt>
                      <c:pt idx="86">
                        <c:v>-3.5107114303580156E-2</c:v>
                      </c:pt>
                      <c:pt idx="87">
                        <c:v>-3.1248839905193893E-2</c:v>
                      </c:pt>
                      <c:pt idx="88">
                        <c:v>-2.7577210674734953E-2</c:v>
                      </c:pt>
                      <c:pt idx="89">
                        <c:v>-2.4097512373171703E-2</c:v>
                      </c:pt>
                      <c:pt idx="90">
                        <c:v>-2.0815030761472286E-2</c:v>
                      </c:pt>
                      <c:pt idx="91">
                        <c:v>-1.7735051600604845E-2</c:v>
                      </c:pt>
                      <c:pt idx="92">
                        <c:v>-1.4862860651537857E-2</c:v>
                      </c:pt>
                      <c:pt idx="93">
                        <c:v>-1.2203743675239465E-2</c:v>
                      </c:pt>
                      <c:pt idx="94">
                        <c:v>-9.7629864326777005E-3</c:v>
                      </c:pt>
                      <c:pt idx="95">
                        <c:v>-7.5458746848208191E-3</c:v>
                      </c:pt>
                      <c:pt idx="96">
                        <c:v>-5.5576941926372969E-3</c:v>
                      </c:pt>
                      <c:pt idx="97">
                        <c:v>-3.8037307170951662E-3</c:v>
                      </c:pt>
                      <c:pt idx="98">
                        <c:v>-2.2892700191627924E-3</c:v>
                      </c:pt>
                      <c:pt idx="99">
                        <c:v>-1.0195978598082078E-3</c:v>
                      </c:pt>
                      <c:pt idx="10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B92-4DDE-BCA6-C5024BDFFF2B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Sheet4!$B$11:$B$157</c15:sqref>
                        </c15:formulaRef>
                      </c:ext>
                    </c:extLst>
                    <c:numCache>
                      <c:formatCode>General</c:formatCode>
                      <c:ptCount val="147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0.32</c:v>
                      </c:pt>
                      <c:pt idx="3">
                        <c:v>0.48</c:v>
                      </c:pt>
                      <c:pt idx="4">
                        <c:v>0.64</c:v>
                      </c:pt>
                      <c:pt idx="5">
                        <c:v>0.8</c:v>
                      </c:pt>
                      <c:pt idx="6">
                        <c:v>0.96000000000000008</c:v>
                      </c:pt>
                      <c:pt idx="7">
                        <c:v>1.1200000000000001</c:v>
                      </c:pt>
                      <c:pt idx="8">
                        <c:v>1.28</c:v>
                      </c:pt>
                      <c:pt idx="9">
                        <c:v>1.44</c:v>
                      </c:pt>
                      <c:pt idx="10">
                        <c:v>1.5999999999999999</c:v>
                      </c:pt>
                      <c:pt idx="11">
                        <c:v>1.7599999999999998</c:v>
                      </c:pt>
                      <c:pt idx="12">
                        <c:v>1.9199999999999997</c:v>
                      </c:pt>
                      <c:pt idx="13">
                        <c:v>2.0799999999999996</c:v>
                      </c:pt>
                      <c:pt idx="14">
                        <c:v>2.2399999999999998</c:v>
                      </c:pt>
                      <c:pt idx="15">
                        <c:v>2.4</c:v>
                      </c:pt>
                      <c:pt idx="16">
                        <c:v>2.56</c:v>
                      </c:pt>
                      <c:pt idx="17">
                        <c:v>2.72</c:v>
                      </c:pt>
                      <c:pt idx="18">
                        <c:v>2.8800000000000003</c:v>
                      </c:pt>
                      <c:pt idx="19">
                        <c:v>3.0400000000000005</c:v>
                      </c:pt>
                      <c:pt idx="20">
                        <c:v>3.2000000000000006</c:v>
                      </c:pt>
                      <c:pt idx="21">
                        <c:v>3.3600000000000008</c:v>
                      </c:pt>
                      <c:pt idx="22">
                        <c:v>3.5200000000000009</c:v>
                      </c:pt>
                      <c:pt idx="23">
                        <c:v>3.680000000000001</c:v>
                      </c:pt>
                      <c:pt idx="24">
                        <c:v>3.8400000000000012</c:v>
                      </c:pt>
                      <c:pt idx="25">
                        <c:v>4.0000000000000009</c:v>
                      </c:pt>
                      <c:pt idx="26">
                        <c:v>4.160000000000001</c:v>
                      </c:pt>
                      <c:pt idx="27">
                        <c:v>4.3200000000000012</c:v>
                      </c:pt>
                      <c:pt idx="28">
                        <c:v>4.4800000000000013</c:v>
                      </c:pt>
                      <c:pt idx="29">
                        <c:v>4.6400000000000015</c:v>
                      </c:pt>
                      <c:pt idx="30">
                        <c:v>4.8000000000000016</c:v>
                      </c:pt>
                      <c:pt idx="31">
                        <c:v>4.9600000000000017</c:v>
                      </c:pt>
                      <c:pt idx="32">
                        <c:v>5.1200000000000019</c:v>
                      </c:pt>
                      <c:pt idx="33">
                        <c:v>5.280000000000002</c:v>
                      </c:pt>
                      <c:pt idx="34">
                        <c:v>5.4400000000000022</c:v>
                      </c:pt>
                      <c:pt idx="35">
                        <c:v>5.6000000000000023</c:v>
                      </c:pt>
                      <c:pt idx="36">
                        <c:v>5.7600000000000025</c:v>
                      </c:pt>
                      <c:pt idx="37">
                        <c:v>5.9200000000000026</c:v>
                      </c:pt>
                      <c:pt idx="38">
                        <c:v>6.0800000000000027</c:v>
                      </c:pt>
                      <c:pt idx="39">
                        <c:v>6.2400000000000029</c:v>
                      </c:pt>
                      <c:pt idx="40">
                        <c:v>6.400000000000003</c:v>
                      </c:pt>
                      <c:pt idx="41">
                        <c:v>6.5600000000000032</c:v>
                      </c:pt>
                      <c:pt idx="42">
                        <c:v>6.7200000000000033</c:v>
                      </c:pt>
                      <c:pt idx="43">
                        <c:v>6.8800000000000034</c:v>
                      </c:pt>
                      <c:pt idx="44">
                        <c:v>7.0400000000000036</c:v>
                      </c:pt>
                      <c:pt idx="45">
                        <c:v>7.2000000000000037</c:v>
                      </c:pt>
                      <c:pt idx="46">
                        <c:v>7.3600000000000039</c:v>
                      </c:pt>
                      <c:pt idx="47">
                        <c:v>7.520000000000004</c:v>
                      </c:pt>
                      <c:pt idx="48">
                        <c:v>7.6800000000000042</c:v>
                      </c:pt>
                      <c:pt idx="49">
                        <c:v>7.8400000000000043</c:v>
                      </c:pt>
                      <c:pt idx="50">
                        <c:v>8.0000000000000036</c:v>
                      </c:pt>
                      <c:pt idx="51">
                        <c:v>8.1600000000000037</c:v>
                      </c:pt>
                      <c:pt idx="52">
                        <c:v>8.3200000000000038</c:v>
                      </c:pt>
                      <c:pt idx="53">
                        <c:v>8.480000000000004</c:v>
                      </c:pt>
                      <c:pt idx="54">
                        <c:v>8.6400000000000041</c:v>
                      </c:pt>
                      <c:pt idx="55">
                        <c:v>8.8000000000000043</c:v>
                      </c:pt>
                      <c:pt idx="56">
                        <c:v>8.9600000000000044</c:v>
                      </c:pt>
                      <c:pt idx="57">
                        <c:v>9.1200000000000045</c:v>
                      </c:pt>
                      <c:pt idx="58">
                        <c:v>9.2800000000000047</c:v>
                      </c:pt>
                      <c:pt idx="59">
                        <c:v>9.4400000000000048</c:v>
                      </c:pt>
                      <c:pt idx="60">
                        <c:v>9.600000000000005</c:v>
                      </c:pt>
                      <c:pt idx="61">
                        <c:v>9.7600000000000051</c:v>
                      </c:pt>
                      <c:pt idx="62">
                        <c:v>9.9200000000000053</c:v>
                      </c:pt>
                      <c:pt idx="63">
                        <c:v>10.080000000000005</c:v>
                      </c:pt>
                      <c:pt idx="64">
                        <c:v>10.240000000000006</c:v>
                      </c:pt>
                      <c:pt idx="65">
                        <c:v>10.400000000000006</c:v>
                      </c:pt>
                      <c:pt idx="66">
                        <c:v>10.560000000000006</c:v>
                      </c:pt>
                      <c:pt idx="67">
                        <c:v>10.720000000000006</c:v>
                      </c:pt>
                      <c:pt idx="68">
                        <c:v>10.880000000000006</c:v>
                      </c:pt>
                      <c:pt idx="69">
                        <c:v>11.040000000000006</c:v>
                      </c:pt>
                      <c:pt idx="70">
                        <c:v>11.200000000000006</c:v>
                      </c:pt>
                      <c:pt idx="71">
                        <c:v>11.360000000000007</c:v>
                      </c:pt>
                      <c:pt idx="72">
                        <c:v>11.520000000000007</c:v>
                      </c:pt>
                      <c:pt idx="73">
                        <c:v>11.680000000000007</c:v>
                      </c:pt>
                      <c:pt idx="74">
                        <c:v>11.840000000000007</c:v>
                      </c:pt>
                      <c:pt idx="75">
                        <c:v>12.000000000000007</c:v>
                      </c:pt>
                      <c:pt idx="76">
                        <c:v>12.160000000000007</c:v>
                      </c:pt>
                      <c:pt idx="77">
                        <c:v>12.320000000000007</c:v>
                      </c:pt>
                      <c:pt idx="78">
                        <c:v>12.480000000000008</c:v>
                      </c:pt>
                      <c:pt idx="79">
                        <c:v>12.640000000000008</c:v>
                      </c:pt>
                      <c:pt idx="80">
                        <c:v>12.800000000000008</c:v>
                      </c:pt>
                      <c:pt idx="81">
                        <c:v>12.960000000000008</c:v>
                      </c:pt>
                      <c:pt idx="82">
                        <c:v>13.120000000000008</c:v>
                      </c:pt>
                      <c:pt idx="83">
                        <c:v>13.280000000000008</c:v>
                      </c:pt>
                      <c:pt idx="84">
                        <c:v>13.440000000000008</c:v>
                      </c:pt>
                      <c:pt idx="85">
                        <c:v>13.600000000000009</c:v>
                      </c:pt>
                      <c:pt idx="86">
                        <c:v>13.760000000000009</c:v>
                      </c:pt>
                      <c:pt idx="87">
                        <c:v>13.920000000000009</c:v>
                      </c:pt>
                      <c:pt idx="88">
                        <c:v>14.080000000000009</c:v>
                      </c:pt>
                      <c:pt idx="89">
                        <c:v>14.240000000000009</c:v>
                      </c:pt>
                      <c:pt idx="90">
                        <c:v>14.400000000000009</c:v>
                      </c:pt>
                      <c:pt idx="91">
                        <c:v>14.560000000000009</c:v>
                      </c:pt>
                      <c:pt idx="92">
                        <c:v>14.72000000000001</c:v>
                      </c:pt>
                      <c:pt idx="93">
                        <c:v>14.88000000000001</c:v>
                      </c:pt>
                      <c:pt idx="94">
                        <c:v>15.04000000000001</c:v>
                      </c:pt>
                      <c:pt idx="95">
                        <c:v>15.20000000000001</c:v>
                      </c:pt>
                      <c:pt idx="96">
                        <c:v>15.36000000000001</c:v>
                      </c:pt>
                      <c:pt idx="97">
                        <c:v>15.52000000000001</c:v>
                      </c:pt>
                      <c:pt idx="98">
                        <c:v>15.68000000000001</c:v>
                      </c:pt>
                      <c:pt idx="99">
                        <c:v>15.840000000000011</c:v>
                      </c:pt>
                      <c:pt idx="100">
                        <c:v>16.000000000000011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Sheet4!$E$11:$E$157</c15:sqref>
                        </c15:formulaRef>
                      </c:ext>
                    </c:extLst>
                    <c:numCache>
                      <c:formatCode>General</c:formatCode>
                      <c:ptCount val="147"/>
                      <c:pt idx="0">
                        <c:v>0</c:v>
                      </c:pt>
                      <c:pt idx="1">
                        <c:v>1.691082223903177E-3</c:v>
                      </c:pt>
                      <c:pt idx="2">
                        <c:v>3.3491284417549168E-3</c:v>
                      </c:pt>
                      <c:pt idx="3">
                        <c:v>4.974138653555219E-3</c:v>
                      </c:pt>
                      <c:pt idx="4">
                        <c:v>6.5661128593040852E-3</c:v>
                      </c:pt>
                      <c:pt idx="5">
                        <c:v>8.1250510590015132E-3</c:v>
                      </c:pt>
                      <c:pt idx="6">
                        <c:v>9.6509532526475057E-3</c:v>
                      </c:pt>
                      <c:pt idx="7">
                        <c:v>1.1143819440242059E-2</c:v>
                      </c:pt>
                      <c:pt idx="8">
                        <c:v>1.2603649621785175E-2</c:v>
                      </c:pt>
                      <c:pt idx="9">
                        <c:v>1.4030443797276852E-2</c:v>
                      </c:pt>
                      <c:pt idx="10">
                        <c:v>1.5424201966717095E-2</c:v>
                      </c:pt>
                      <c:pt idx="11">
                        <c:v>1.6784924130105898E-2</c:v>
                      </c:pt>
                      <c:pt idx="12">
                        <c:v>1.8112610287443265E-2</c:v>
                      </c:pt>
                      <c:pt idx="13">
                        <c:v>1.9407260438729194E-2</c:v>
                      </c:pt>
                      <c:pt idx="14">
                        <c:v>2.066887458396369E-2</c:v>
                      </c:pt>
                      <c:pt idx="15">
                        <c:v>2.1897452723146749E-2</c:v>
                      </c:pt>
                      <c:pt idx="16">
                        <c:v>2.3092994856278366E-2</c:v>
                      </c:pt>
                      <c:pt idx="17">
                        <c:v>2.4255500983358547E-2</c:v>
                      </c:pt>
                      <c:pt idx="18">
                        <c:v>2.5384971104387297E-2</c:v>
                      </c:pt>
                      <c:pt idx="19">
                        <c:v>2.6481405219364602E-2</c:v>
                      </c:pt>
                      <c:pt idx="20">
                        <c:v>2.7544803328290471E-2</c:v>
                      </c:pt>
                      <c:pt idx="21">
                        <c:v>2.8575165431164905E-2</c:v>
                      </c:pt>
                      <c:pt idx="22">
                        <c:v>2.9572491527987906E-2</c:v>
                      </c:pt>
                      <c:pt idx="23">
                        <c:v>3.0536781618759466E-2</c:v>
                      </c:pt>
                      <c:pt idx="24">
                        <c:v>3.1468035703479585E-2</c:v>
                      </c:pt>
                      <c:pt idx="25">
                        <c:v>3.236625378214826E-2</c:v>
                      </c:pt>
                      <c:pt idx="26">
                        <c:v>3.3231435854765512E-2</c:v>
                      </c:pt>
                      <c:pt idx="27">
                        <c:v>3.4063581921331326E-2</c:v>
                      </c:pt>
                      <c:pt idx="28">
                        <c:v>3.4862691981845696E-2</c:v>
                      </c:pt>
                      <c:pt idx="29">
                        <c:v>3.5628766036308629E-2</c:v>
                      </c:pt>
                      <c:pt idx="30">
                        <c:v>3.6361804084720124E-2</c:v>
                      </c:pt>
                      <c:pt idx="31">
                        <c:v>3.7061806127080182E-2</c:v>
                      </c:pt>
                      <c:pt idx="32">
                        <c:v>3.7728772163388817E-2</c:v>
                      </c:pt>
                      <c:pt idx="33">
                        <c:v>3.8362702193646001E-2</c:v>
                      </c:pt>
                      <c:pt idx="34">
                        <c:v>3.8963596217851747E-2</c:v>
                      </c:pt>
                      <c:pt idx="35">
                        <c:v>3.9531454236006056E-2</c:v>
                      </c:pt>
                      <c:pt idx="36">
                        <c:v>4.0066276248108934E-2</c:v>
                      </c:pt>
                      <c:pt idx="37">
                        <c:v>4.0568062254160361E-2</c:v>
                      </c:pt>
                      <c:pt idx="38">
                        <c:v>4.1036812254160365E-2</c:v>
                      </c:pt>
                      <c:pt idx="39">
                        <c:v>4.1472526248108925E-2</c:v>
                      </c:pt>
                      <c:pt idx="40">
                        <c:v>4.1875204236006068E-2</c:v>
                      </c:pt>
                      <c:pt idx="41">
                        <c:v>4.2244846217851753E-2</c:v>
                      </c:pt>
                      <c:pt idx="42">
                        <c:v>4.2581452193646008E-2</c:v>
                      </c:pt>
                      <c:pt idx="43">
                        <c:v>4.2885022163388811E-2</c:v>
                      </c:pt>
                      <c:pt idx="44">
                        <c:v>4.3155556127080191E-2</c:v>
                      </c:pt>
                      <c:pt idx="45">
                        <c:v>4.3393054084720127E-2</c:v>
                      </c:pt>
                      <c:pt idx="46">
                        <c:v>4.3597516036308626E-2</c:v>
                      </c:pt>
                      <c:pt idx="47">
                        <c:v>4.3768941981845694E-2</c:v>
                      </c:pt>
                      <c:pt idx="48">
                        <c:v>4.3907331921331318E-2</c:v>
                      </c:pt>
                      <c:pt idx="49">
                        <c:v>4.4012685854765504E-2</c:v>
                      </c:pt>
                      <c:pt idx="50">
                        <c:v>4.4085003782148267E-2</c:v>
                      </c:pt>
                      <c:pt idx="51">
                        <c:v>4.4124285703479579E-2</c:v>
                      </c:pt>
                      <c:pt idx="52">
                        <c:v>4.4130531618759454E-2</c:v>
                      </c:pt>
                      <c:pt idx="53">
                        <c:v>4.4103741527987898E-2</c:v>
                      </c:pt>
                      <c:pt idx="54">
                        <c:v>4.4043915431164891E-2</c:v>
                      </c:pt>
                      <c:pt idx="55">
                        <c:v>4.3951053328290468E-2</c:v>
                      </c:pt>
                      <c:pt idx="56">
                        <c:v>4.3825155219364587E-2</c:v>
                      </c:pt>
                      <c:pt idx="57">
                        <c:v>4.3666221104387289E-2</c:v>
                      </c:pt>
                      <c:pt idx="58">
                        <c:v>4.3474250983358532E-2</c:v>
                      </c:pt>
                      <c:pt idx="59">
                        <c:v>4.3249244856278367E-2</c:v>
                      </c:pt>
                      <c:pt idx="60">
                        <c:v>4.2991202723146743E-2</c:v>
                      </c:pt>
                      <c:pt idx="61">
                        <c:v>4.2700124583963689E-2</c:v>
                      </c:pt>
                      <c:pt idx="62">
                        <c:v>4.2376010438729184E-2</c:v>
                      </c:pt>
                      <c:pt idx="63">
                        <c:v>4.2018860287443255E-2</c:v>
                      </c:pt>
                      <c:pt idx="64">
                        <c:v>4.1628674130105889E-2</c:v>
                      </c:pt>
                      <c:pt idx="65">
                        <c:v>4.1205451966717072E-2</c:v>
                      </c:pt>
                      <c:pt idx="66">
                        <c:v>4.0749193797276831E-2</c:v>
                      </c:pt>
                      <c:pt idx="67">
                        <c:v>4.0259899621785153E-2</c:v>
                      </c:pt>
                      <c:pt idx="68">
                        <c:v>3.9737569440242024E-2</c:v>
                      </c:pt>
                      <c:pt idx="69">
                        <c:v>3.9182203252647485E-2</c:v>
                      </c:pt>
                      <c:pt idx="70">
                        <c:v>3.8593801059001495E-2</c:v>
                      </c:pt>
                      <c:pt idx="71">
                        <c:v>3.7972362859304068E-2</c:v>
                      </c:pt>
                      <c:pt idx="72">
                        <c:v>3.731788865355519E-2</c:v>
                      </c:pt>
                      <c:pt idx="73">
                        <c:v>3.6630378441754888E-2</c:v>
                      </c:pt>
                      <c:pt idx="74">
                        <c:v>3.5909832223903149E-2</c:v>
                      </c:pt>
                      <c:pt idx="75">
                        <c:v>3.5156249999999972E-2</c:v>
                      </c:pt>
                      <c:pt idx="76">
                        <c:v>3.4369631770045359E-2</c:v>
                      </c:pt>
                      <c:pt idx="77">
                        <c:v>3.354997753403928E-2</c:v>
                      </c:pt>
                      <c:pt idx="78">
                        <c:v>3.2697287291981805E-2</c:v>
                      </c:pt>
                      <c:pt idx="79">
                        <c:v>3.1811561043872866E-2</c:v>
                      </c:pt>
                      <c:pt idx="80">
                        <c:v>3.0892798789712503E-2</c:v>
                      </c:pt>
                      <c:pt idx="81">
                        <c:v>2.9941000529500703E-2</c:v>
                      </c:pt>
                      <c:pt idx="82">
                        <c:v>2.8956166263237465E-2</c:v>
                      </c:pt>
                      <c:pt idx="83">
                        <c:v>2.7938295990922776E-2</c:v>
                      </c:pt>
                      <c:pt idx="84">
                        <c:v>2.6887389712556664E-2</c:v>
                      </c:pt>
                      <c:pt idx="85">
                        <c:v>2.5803447428139115E-2</c:v>
                      </c:pt>
                      <c:pt idx="86">
                        <c:v>2.4686469137670128E-2</c:v>
                      </c:pt>
                      <c:pt idx="87">
                        <c:v>2.3536454841149718E-2</c:v>
                      </c:pt>
                      <c:pt idx="88">
                        <c:v>2.235340453857787E-2</c:v>
                      </c:pt>
                      <c:pt idx="89">
                        <c:v>2.1137318229954544E-2</c:v>
                      </c:pt>
                      <c:pt idx="90">
                        <c:v>1.9888195915279822E-2</c:v>
                      </c:pt>
                      <c:pt idx="91">
                        <c:v>1.8606037594553648E-2</c:v>
                      </c:pt>
                      <c:pt idx="92">
                        <c:v>1.7290843267776024E-2</c:v>
                      </c:pt>
                      <c:pt idx="93">
                        <c:v>1.5942612934946976E-2</c:v>
                      </c:pt>
                      <c:pt idx="94">
                        <c:v>1.4561346596066477E-2</c:v>
                      </c:pt>
                      <c:pt idx="95">
                        <c:v>1.3147044251134554E-2</c:v>
                      </c:pt>
                      <c:pt idx="96">
                        <c:v>1.1699705900151208E-2</c:v>
                      </c:pt>
                      <c:pt idx="97">
                        <c:v>1.0219331543116383E-2</c:v>
                      </c:pt>
                      <c:pt idx="98">
                        <c:v>8.7059211800301628E-3</c:v>
                      </c:pt>
                      <c:pt idx="99">
                        <c:v>7.159474810892491E-3</c:v>
                      </c:pt>
                      <c:pt idx="100">
                        <c:v>5.5799924357033681E-3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B92-4DDE-BCA6-C5024BDFFF2B}"/>
                  </c:ext>
                </c:extLst>
              </c15:ser>
            </c15:filteredScatterSeries>
          </c:ext>
        </c:extLst>
      </c:scatterChart>
      <c:valAx>
        <c:axId val="47519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93728"/>
        <c:crosses val="autoZero"/>
        <c:crossBetween val="midCat"/>
      </c:valAx>
      <c:valAx>
        <c:axId val="47519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9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4</xdr:row>
      <xdr:rowOff>0</xdr:rowOff>
    </xdr:from>
    <xdr:to>
      <xdr:col>20</xdr:col>
      <xdr:colOff>438150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82B0D-FDD2-4C51-A8BE-CA19B6E5E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423656</xdr:colOff>
      <xdr:row>9</xdr:row>
      <xdr:rowOff>49696</xdr:rowOff>
    </xdr:from>
    <xdr:to>
      <xdr:col>23</xdr:col>
      <xdr:colOff>41828</xdr:colOff>
      <xdr:row>21</xdr:row>
      <xdr:rowOff>68746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E46A3-AD46-49A8-8252-67F3FF602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AF82-2B57-459C-AD16-8A4BF4CA1931}">
  <dimension ref="A1:E57"/>
  <sheetViews>
    <sheetView workbookViewId="0">
      <selection activeCell="A6" sqref="A6:A57"/>
    </sheetView>
  </sheetViews>
  <sheetFormatPr defaultRowHeight="15" x14ac:dyDescent="0.25"/>
  <sheetData>
    <row r="1" spans="1:5" x14ac:dyDescent="0.25">
      <c r="D1" t="s">
        <v>14</v>
      </c>
      <c r="E1">
        <v>33</v>
      </c>
    </row>
    <row r="2" spans="1:5" x14ac:dyDescent="0.25">
      <c r="D2" t="s">
        <v>15</v>
      </c>
      <c r="E2">
        <v>1</v>
      </c>
    </row>
    <row r="3" spans="1:5" x14ac:dyDescent="0.25">
      <c r="D3" t="s">
        <v>16</v>
      </c>
      <c r="E3">
        <v>385000</v>
      </c>
    </row>
    <row r="5" spans="1:5" x14ac:dyDescent="0.25">
      <c r="B5" t="s">
        <v>12</v>
      </c>
      <c r="C5" t="s">
        <v>13</v>
      </c>
    </row>
    <row r="6" spans="1:5" x14ac:dyDescent="0.25">
      <c r="A6">
        <v>0</v>
      </c>
      <c r="B6">
        <v>0.04</v>
      </c>
      <c r="C6">
        <f>0.04-$E$2*A6/(24*$E$3)*($E$1^3-2*$E$1*A6^2+A6^3)</f>
        <v>0.04</v>
      </c>
    </row>
    <row r="7" spans="1:5" x14ac:dyDescent="0.25">
      <c r="A7">
        <v>0.64</v>
      </c>
      <c r="B7">
        <v>3.6970291798079598E-2</v>
      </c>
      <c r="C7">
        <f t="shared" ref="C7:C57" si="0">0.04-$E$2*A7/(24*$E$3)*($E$1^3-2*$E$1*A7^2+A7^3)</f>
        <v>3.7512711442839825E-2</v>
      </c>
    </row>
    <row r="8" spans="1:5" x14ac:dyDescent="0.25">
      <c r="A8">
        <v>1.28</v>
      </c>
      <c r="B8">
        <v>3.4000171053310699E-2</v>
      </c>
      <c r="C8">
        <f t="shared" si="0"/>
        <v>3.5036403428294373E-2</v>
      </c>
    </row>
    <row r="9" spans="1:5" x14ac:dyDescent="0.25">
      <c r="A9">
        <v>1.92</v>
      </c>
      <c r="B9">
        <v>3.1122562829767501E-2</v>
      </c>
      <c r="C9">
        <f t="shared" si="0"/>
        <v>3.2581657041454548E-2</v>
      </c>
    </row>
    <row r="10" spans="1:5" x14ac:dyDescent="0.25">
      <c r="A10">
        <v>2.56</v>
      </c>
      <c r="B10">
        <v>2.8355673519613302E-2</v>
      </c>
      <c r="C10">
        <f t="shared" si="0"/>
        <v>3.0158617595567101E-2</v>
      </c>
    </row>
    <row r="11" spans="1:5" x14ac:dyDescent="0.25">
      <c r="A11">
        <v>3.2</v>
      </c>
      <c r="B11">
        <v>2.5709571392993898E-2</v>
      </c>
      <c r="C11">
        <f t="shared" si="0"/>
        <v>2.7776994632034632E-2</v>
      </c>
    </row>
    <row r="12" spans="1:5" x14ac:dyDescent="0.25">
      <c r="A12">
        <v>3.84</v>
      </c>
      <c r="B12">
        <v>2.3189816962112999E-2</v>
      </c>
      <c r="C12">
        <f t="shared" si="0"/>
        <v>2.544606192041559E-2</v>
      </c>
    </row>
    <row r="13" spans="1:5" x14ac:dyDescent="0.25">
      <c r="A13">
        <v>4.4800000000000004</v>
      </c>
      <c r="B13">
        <v>2.0799472371108001E-2</v>
      </c>
      <c r="C13">
        <f t="shared" si="0"/>
        <v>2.3174657458424241E-2</v>
      </c>
    </row>
    <row r="14" spans="1:5" x14ac:dyDescent="0.25">
      <c r="A14">
        <v>5.12</v>
      </c>
      <c r="B14">
        <v>1.85402150525E-2</v>
      </c>
      <c r="C14">
        <f t="shared" si="0"/>
        <v>2.0971183471930735E-2</v>
      </c>
    </row>
    <row r="15" spans="1:5" x14ac:dyDescent="0.25">
      <c r="A15">
        <v>5.76</v>
      </c>
      <c r="B15">
        <v>1.6412953266430198E-2</v>
      </c>
      <c r="C15">
        <f t="shared" si="0"/>
        <v>1.8843606414961037E-2</v>
      </c>
    </row>
    <row r="16" spans="1:5" x14ac:dyDescent="0.25">
      <c r="A16">
        <v>6.4</v>
      </c>
      <c r="B16">
        <v>1.44181630089387E-2</v>
      </c>
      <c r="C16">
        <f t="shared" si="0"/>
        <v>1.6799456969696969E-2</v>
      </c>
    </row>
    <row r="17" spans="1:3" x14ac:dyDescent="0.25">
      <c r="A17">
        <v>7.04</v>
      </c>
      <c r="B17">
        <v>1.2556068538454901E-2</v>
      </c>
      <c r="C17">
        <f t="shared" si="0"/>
        <v>1.4845830046476192E-2</v>
      </c>
    </row>
    <row r="18" spans="1:3" x14ac:dyDescent="0.25">
      <c r="A18">
        <v>7.68</v>
      </c>
      <c r="B18">
        <v>1.0826734756404501E-2</v>
      </c>
      <c r="C18">
        <f t="shared" si="0"/>
        <v>1.2989384783792211E-2</v>
      </c>
    </row>
    <row r="19" spans="1:3" x14ac:dyDescent="0.25">
      <c r="A19">
        <v>8.32</v>
      </c>
      <c r="B19">
        <v>9.2301088559702208E-3</v>
      </c>
      <c r="C19">
        <f t="shared" si="0"/>
        <v>1.1236344548294374E-2</v>
      </c>
    </row>
    <row r="20" spans="1:3" x14ac:dyDescent="0.25">
      <c r="A20">
        <v>8.9600000000000009</v>
      </c>
      <c r="B20">
        <v>7.7660306152011896E-3</v>
      </c>
      <c r="C20">
        <f t="shared" si="0"/>
        <v>9.592496934787878E-3</v>
      </c>
    </row>
    <row r="21" spans="1:3" x14ac:dyDescent="0.25">
      <c r="A21">
        <v>9.6</v>
      </c>
      <c r="B21">
        <v>6.4342199309439701E-3</v>
      </c>
      <c r="C21">
        <f t="shared" si="0"/>
        <v>8.0631937662337672E-3</v>
      </c>
    </row>
    <row r="22" spans="1:3" x14ac:dyDescent="0.25">
      <c r="A22">
        <v>10.24</v>
      </c>
      <c r="B22">
        <v>5.2342434547285599E-3</v>
      </c>
      <c r="C22">
        <f t="shared" si="0"/>
        <v>6.6533510937489201E-3</v>
      </c>
    </row>
    <row r="23" spans="1:3" x14ac:dyDescent="0.25">
      <c r="A23">
        <v>10.88</v>
      </c>
      <c r="B23">
        <v>4.1654574240993104E-3</v>
      </c>
      <c r="C23">
        <f t="shared" si="0"/>
        <v>5.3674491966060611E-3</v>
      </c>
    </row>
    <row r="24" spans="1:3" x14ac:dyDescent="0.25">
      <c r="A24">
        <v>11.52</v>
      </c>
      <c r="B24">
        <v>3.2269195585387699E-3</v>
      </c>
      <c r="C24">
        <f t="shared" si="0"/>
        <v>4.2095325822337631E-3</v>
      </c>
    </row>
    <row r="25" spans="1:3" x14ac:dyDescent="0.25">
      <c r="A25">
        <v>12.16</v>
      </c>
      <c r="B25">
        <v>2.4172581647731398E-3</v>
      </c>
      <c r="C25">
        <f t="shared" si="0"/>
        <v>3.1832099862164481E-3</v>
      </c>
    </row>
    <row r="26" spans="1:3" x14ac:dyDescent="0.25">
      <c r="A26">
        <v>12.8</v>
      </c>
      <c r="B26">
        <v>1.7344804800987501E-3</v>
      </c>
      <c r="C26">
        <f t="shared" si="0"/>
        <v>2.291654372294373E-3</v>
      </c>
    </row>
    <row r="27" spans="1:3" x14ac:dyDescent="0.25">
      <c r="A27">
        <v>13.44</v>
      </c>
      <c r="B27">
        <v>1.1756938246910099E-3</v>
      </c>
      <c r="C27">
        <f t="shared" si="0"/>
        <v>1.5376029323636367E-3</v>
      </c>
    </row>
    <row r="28" spans="1:3" x14ac:dyDescent="0.25">
      <c r="A28">
        <v>14.08</v>
      </c>
      <c r="B28">
        <v>7.3670113296753497E-4</v>
      </c>
      <c r="C28">
        <f t="shared" si="0"/>
        <v>9.2335708647618697E-4</v>
      </c>
    </row>
    <row r="29" spans="1:3" x14ac:dyDescent="0.25">
      <c r="A29">
        <v>14.72</v>
      </c>
      <c r="B29">
        <v>4.1141523463707002E-4</v>
      </c>
      <c r="C29">
        <f t="shared" si="0"/>
        <v>4.5078248283983435E-4</v>
      </c>
    </row>
    <row r="30" spans="1:3" x14ac:dyDescent="0.25">
      <c r="A30">
        <v>15.36</v>
      </c>
      <c r="B30">
        <v>1.9101150363061699E-4</v>
      </c>
      <c r="C30">
        <f t="shared" si="0"/>
        <v>1.2130899781818971E-4</v>
      </c>
    </row>
    <row r="31" spans="1:3" x14ac:dyDescent="0.25">
      <c r="A31">
        <v>16</v>
      </c>
      <c r="B31">
        <v>6.2702802232543603E-5</v>
      </c>
      <c r="C31">
        <f t="shared" si="0"/>
        <v>-6.4069264069266385E-5</v>
      </c>
    </row>
    <row r="32" spans="1:3" x14ac:dyDescent="0.25">
      <c r="A32">
        <v>16.64</v>
      </c>
      <c r="B32">
        <v>7.9691320561146695E-6</v>
      </c>
      <c r="C32">
        <f t="shared" si="0"/>
        <v>-1.0479397014718367E-4</v>
      </c>
    </row>
    <row r="33" spans="1:3" x14ac:dyDescent="0.25">
      <c r="A33">
        <v>17.28</v>
      </c>
      <c r="C33">
        <f t="shared" si="0"/>
        <v>-7.4255958441848957E-7</v>
      </c>
    </row>
    <row r="34" spans="1:3" x14ac:dyDescent="0.25">
      <c r="A34">
        <v>17.920000000000002</v>
      </c>
      <c r="C34">
        <f t="shared" si="0"/>
        <v>2.4777175660606332E-4</v>
      </c>
    </row>
    <row r="35" spans="1:3" x14ac:dyDescent="0.25">
      <c r="A35">
        <v>18.559999999999999</v>
      </c>
      <c r="C35">
        <f t="shared" si="0"/>
        <v>6.3999999556709625E-4</v>
      </c>
    </row>
    <row r="36" spans="1:3" x14ac:dyDescent="0.25">
      <c r="A36">
        <v>19.2</v>
      </c>
      <c r="C36">
        <f t="shared" si="0"/>
        <v>1.1747574025973984E-3</v>
      </c>
    </row>
    <row r="37" spans="1:3" x14ac:dyDescent="0.25">
      <c r="A37">
        <v>19.84</v>
      </c>
      <c r="C37">
        <f t="shared" si="0"/>
        <v>1.8504234511515158E-3</v>
      </c>
    </row>
    <row r="38" spans="1:3" x14ac:dyDescent="0.25">
      <c r="A38">
        <v>20.48</v>
      </c>
      <c r="C38">
        <f t="shared" si="0"/>
        <v>2.6649418428398228E-3</v>
      </c>
    </row>
    <row r="39" spans="1:3" x14ac:dyDescent="0.25">
      <c r="A39">
        <v>21.12</v>
      </c>
      <c r="C39">
        <f t="shared" si="0"/>
        <v>3.6158205074285771E-3</v>
      </c>
    </row>
    <row r="40" spans="1:3" x14ac:dyDescent="0.25">
      <c r="A40">
        <v>21.76</v>
      </c>
      <c r="C40">
        <f t="shared" si="0"/>
        <v>4.7001316028398368E-3</v>
      </c>
    </row>
    <row r="41" spans="1:3" x14ac:dyDescent="0.25">
      <c r="A41">
        <v>22.4</v>
      </c>
      <c r="C41">
        <f t="shared" si="0"/>
        <v>5.914511515151516E-3</v>
      </c>
    </row>
    <row r="42" spans="1:3" x14ac:dyDescent="0.25">
      <c r="A42">
        <v>23.04</v>
      </c>
      <c r="C42">
        <f t="shared" si="0"/>
        <v>7.2551608585973981E-3</v>
      </c>
    </row>
    <row r="43" spans="1:3" x14ac:dyDescent="0.25">
      <c r="A43">
        <v>23.68</v>
      </c>
      <c r="C43">
        <f t="shared" si="0"/>
        <v>8.717844475567095E-3</v>
      </c>
    </row>
    <row r="44" spans="1:3" x14ac:dyDescent="0.25">
      <c r="A44">
        <v>24.32</v>
      </c>
      <c r="C44">
        <f t="shared" si="0"/>
        <v>1.029789143660606E-2</v>
      </c>
    </row>
    <row r="45" spans="1:3" x14ac:dyDescent="0.25">
      <c r="A45">
        <v>24.96</v>
      </c>
      <c r="C45">
        <f t="shared" si="0"/>
        <v>1.199019504041559E-2</v>
      </c>
    </row>
    <row r="46" spans="1:3" x14ac:dyDescent="0.25">
      <c r="A46">
        <v>25.6</v>
      </c>
      <c r="C46">
        <f t="shared" si="0"/>
        <v>1.3789212813852827E-2</v>
      </c>
    </row>
    <row r="47" spans="1:3" x14ac:dyDescent="0.25">
      <c r="A47">
        <v>26.24</v>
      </c>
      <c r="C47">
        <f t="shared" si="0"/>
        <v>1.5688966511930729E-2</v>
      </c>
    </row>
    <row r="48" spans="1:3" x14ac:dyDescent="0.25">
      <c r="A48">
        <v>26.88</v>
      </c>
      <c r="C48">
        <f t="shared" si="0"/>
        <v>1.7683042117818178E-2</v>
      </c>
    </row>
    <row r="49" spans="1:3" x14ac:dyDescent="0.25">
      <c r="A49">
        <v>27.52</v>
      </c>
      <c r="C49">
        <f t="shared" si="0"/>
        <v>1.9764589842839811E-2</v>
      </c>
    </row>
    <row r="50" spans="1:3" x14ac:dyDescent="0.25">
      <c r="A50">
        <v>28.16</v>
      </c>
      <c r="C50">
        <f t="shared" si="0"/>
        <v>2.1926324126476191E-2</v>
      </c>
    </row>
    <row r="51" spans="1:3" x14ac:dyDescent="0.25">
      <c r="A51">
        <v>28.8</v>
      </c>
      <c r="C51">
        <f t="shared" si="0"/>
        <v>2.4160523636363632E-2</v>
      </c>
    </row>
    <row r="52" spans="1:3" x14ac:dyDescent="0.25">
      <c r="A52">
        <v>29.44</v>
      </c>
      <c r="C52">
        <f t="shared" si="0"/>
        <v>2.6459031268294374E-2</v>
      </c>
    </row>
    <row r="53" spans="1:3" x14ac:dyDescent="0.25">
      <c r="A53">
        <v>30.08</v>
      </c>
      <c r="C53">
        <f t="shared" si="0"/>
        <v>2.8813254146216459E-2</v>
      </c>
    </row>
    <row r="54" spans="1:3" x14ac:dyDescent="0.25">
      <c r="A54">
        <v>30.72</v>
      </c>
      <c r="C54">
        <f t="shared" si="0"/>
        <v>3.1214163622233775E-2</v>
      </c>
    </row>
    <row r="55" spans="1:3" x14ac:dyDescent="0.25">
      <c r="A55">
        <v>31.36</v>
      </c>
      <c r="C55">
        <f t="shared" si="0"/>
        <v>3.3652295276606056E-2</v>
      </c>
    </row>
    <row r="56" spans="1:3" x14ac:dyDescent="0.25">
      <c r="A56">
        <v>32</v>
      </c>
      <c r="C56">
        <f t="shared" si="0"/>
        <v>3.6117748917748917E-2</v>
      </c>
    </row>
    <row r="57" spans="1:3" x14ac:dyDescent="0.25">
      <c r="A57">
        <v>32.64</v>
      </c>
      <c r="C57">
        <f t="shared" si="0"/>
        <v>3.8600188582233762E-2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1368-4692-439C-9F1C-3F8FE70F7236}">
  <dimension ref="B1:M111"/>
  <sheetViews>
    <sheetView tabSelected="1" zoomScale="115" zoomScaleNormal="115" workbookViewId="0">
      <selection activeCell="C3" sqref="C3"/>
    </sheetView>
  </sheetViews>
  <sheetFormatPr defaultRowHeight="15" x14ac:dyDescent="0.25"/>
  <cols>
    <col min="3" max="3" width="12" bestFit="1" customWidth="1"/>
    <col min="6" max="6" width="12" bestFit="1" customWidth="1"/>
    <col min="9" max="10" width="11.85546875" customWidth="1"/>
    <col min="11" max="11" width="13.85546875" bestFit="1" customWidth="1"/>
    <col min="13" max="13" width="11.7109375" customWidth="1"/>
  </cols>
  <sheetData>
    <row r="1" spans="2:13" x14ac:dyDescent="0.25">
      <c r="B1" t="s">
        <v>16</v>
      </c>
      <c r="C1">
        <v>1322</v>
      </c>
      <c r="D1" t="s">
        <v>38</v>
      </c>
    </row>
    <row r="2" spans="2:13" x14ac:dyDescent="0.25">
      <c r="B2" t="s">
        <v>17</v>
      </c>
      <c r="C2">
        <v>4</v>
      </c>
      <c r="D2" t="s">
        <v>40</v>
      </c>
      <c r="F2">
        <f>q/(2*EI)*L^4+3*h-3/8*q/EI*L^4</f>
        <v>1.4284780635400907</v>
      </c>
    </row>
    <row r="3" spans="2:13" x14ac:dyDescent="0.25">
      <c r="B3" t="s">
        <v>15</v>
      </c>
      <c r="C3">
        <v>-1.706</v>
      </c>
      <c r="D3" t="s">
        <v>39</v>
      </c>
    </row>
    <row r="4" spans="2:13" x14ac:dyDescent="0.25">
      <c r="B4" t="s">
        <v>14</v>
      </c>
      <c r="C4">
        <v>16</v>
      </c>
      <c r="D4" t="s">
        <v>40</v>
      </c>
      <c r="E4" t="s">
        <v>29</v>
      </c>
      <c r="F4">
        <f>L^4</f>
        <v>65536</v>
      </c>
      <c r="H4">
        <f>q/8/EI*L^4</f>
        <v>-10.571521936459909</v>
      </c>
    </row>
    <row r="5" spans="2:13" x14ac:dyDescent="0.25">
      <c r="B5" t="s">
        <v>18</v>
      </c>
      <c r="C5">
        <f>q/(24*EI)</f>
        <v>-5.3769541099344428E-5</v>
      </c>
      <c r="M5">
        <f>-24*h/L^4</f>
        <v>-1.46484375E-3</v>
      </c>
    </row>
    <row r="6" spans="2:13" x14ac:dyDescent="0.25">
      <c r="B6" t="s">
        <v>19</v>
      </c>
      <c r="C6">
        <f>h/(2*L^3)-q/(16*EI)*L</f>
        <v>1.7787502363842663E-3</v>
      </c>
      <c r="H6" t="s">
        <v>30</v>
      </c>
      <c r="I6">
        <f>(-24*h*EI/q)^0.25</f>
        <v>16.515088881652819</v>
      </c>
    </row>
    <row r="7" spans="2:13" x14ac:dyDescent="0.25">
      <c r="B7" t="s">
        <v>20</v>
      </c>
      <c r="C7">
        <v>0</v>
      </c>
      <c r="M7">
        <f>q/EI</f>
        <v>-1.2904689863842663E-3</v>
      </c>
    </row>
    <row r="8" spans="2:13" x14ac:dyDescent="0.25">
      <c r="B8" t="s">
        <v>21</v>
      </c>
      <c r="C8">
        <f>q*L^3/(48*EI)-3*h/(2*L)</f>
        <v>-0.48512002017145739</v>
      </c>
    </row>
    <row r="9" spans="2:13" x14ac:dyDescent="0.25">
      <c r="B9" t="s">
        <v>22</v>
      </c>
      <c r="C9">
        <f>h</f>
        <v>4</v>
      </c>
    </row>
    <row r="10" spans="2:13" x14ac:dyDescent="0.25"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41</v>
      </c>
      <c r="I10" t="s">
        <v>42</v>
      </c>
      <c r="J10" t="s">
        <v>44</v>
      </c>
      <c r="K10" t="s">
        <v>43</v>
      </c>
    </row>
    <row r="11" spans="2:13" x14ac:dyDescent="0.25">
      <c r="B11">
        <v>0</v>
      </c>
      <c r="C11">
        <f t="shared" ref="C11:C42" si="0">A*x^4+B*x^3+C_*x^2+D*x+E</f>
        <v>4</v>
      </c>
      <c r="D11">
        <f t="shared" ref="D11:D42" si="1">4*A*x^3+3*B*x^2+2*C_*x+D</f>
        <v>-0.48512002017145739</v>
      </c>
      <c r="E11">
        <f t="shared" ref="E11:E42" si="2">12*A*x^2+6*B*x+2*C_</f>
        <v>0</v>
      </c>
      <c r="F11">
        <f t="shared" ref="F11:F42" si="3">24*A*x+6*B</f>
        <v>1.0672501418305598E-2</v>
      </c>
      <c r="G11">
        <f t="shared" ref="G11:G42" si="4">24*A</f>
        <v>-1.2904689863842663E-3</v>
      </c>
      <c r="H11">
        <f t="shared" ref="H11:H28" si="5">-h/L^4*(x-L)^3*(x+L)</f>
        <v>4</v>
      </c>
      <c r="I11">
        <f t="shared" ref="I11:I29" si="6">H11-C11</f>
        <v>0</v>
      </c>
      <c r="J11">
        <f>(B12-B11)*(SQRT(1+(D12^2))+SQRT(1+(D11^2)))/2</f>
        <v>0.17782872467301153</v>
      </c>
      <c r="K11">
        <v>0</v>
      </c>
    </row>
    <row r="12" spans="2:13" x14ac:dyDescent="0.25">
      <c r="B12">
        <f>B11+L/100</f>
        <v>0.16</v>
      </c>
      <c r="C12">
        <f t="shared" si="0"/>
        <v>3.9223880472951285</v>
      </c>
      <c r="D12">
        <f t="shared" si="1"/>
        <v>-0.48498429311346447</v>
      </c>
      <c r="E12">
        <f t="shared" si="2"/>
        <v>1.691082223903177E-3</v>
      </c>
      <c r="F12">
        <f t="shared" si="3"/>
        <v>1.0466026380484115E-2</v>
      </c>
      <c r="G12">
        <f t="shared" si="4"/>
        <v>-1.2904689863842663E-3</v>
      </c>
      <c r="H12">
        <f t="shared" si="5"/>
        <v>3.9200079599999995</v>
      </c>
      <c r="I12">
        <f t="shared" si="6"/>
        <v>-2.380087295128952E-3</v>
      </c>
      <c r="J12">
        <f t="shared" ref="J12:J75" si="7">(B13-B12)*(SQRT(1+(D13^2))+SQRT(1+(D12^2)))/2</f>
        <v>0.17780989908593597</v>
      </c>
      <c r="K12">
        <f>K11+J11</f>
        <v>0.17782872467301153</v>
      </c>
    </row>
    <row r="13" spans="2:13" x14ac:dyDescent="0.25">
      <c r="B13">
        <f>B12+L/100</f>
        <v>0.32</v>
      </c>
      <c r="C13">
        <f t="shared" si="0"/>
        <v>3.8448193158183761</v>
      </c>
      <c r="D13">
        <f t="shared" si="1"/>
        <v>-0.48458063578013111</v>
      </c>
      <c r="E13">
        <f t="shared" si="2"/>
        <v>3.3491284417549168E-3</v>
      </c>
      <c r="F13">
        <f t="shared" si="3"/>
        <v>1.0259551342662633E-2</v>
      </c>
      <c r="G13">
        <f t="shared" si="4"/>
        <v>-1.2904689863842663E-3</v>
      </c>
      <c r="H13">
        <f t="shared" si="5"/>
        <v>3.8400633599999998</v>
      </c>
      <c r="I13">
        <f t="shared" si="6"/>
        <v>-4.7559558183762896E-3</v>
      </c>
      <c r="J13">
        <f t="shared" si="7"/>
        <v>0.17777258040065794</v>
      </c>
      <c r="K13">
        <f t="shared" ref="K13:K76" si="8">K12+J12</f>
        <v>0.3556386237589475</v>
      </c>
    </row>
    <row r="14" spans="2:13" x14ac:dyDescent="0.25">
      <c r="B14">
        <f>B13+L/100</f>
        <v>0.48</v>
      </c>
      <c r="C14">
        <f t="shared" si="0"/>
        <v>3.7673362515529196</v>
      </c>
      <c r="D14">
        <f t="shared" si="1"/>
        <v>-0.48391433393242561</v>
      </c>
      <c r="E14">
        <f t="shared" si="2"/>
        <v>4.974138653555219E-3</v>
      </c>
      <c r="F14">
        <f t="shared" si="3"/>
        <v>1.005307630484115E-2</v>
      </c>
      <c r="G14">
        <f t="shared" si="4"/>
        <v>-1.2904689863842663E-3</v>
      </c>
      <c r="H14">
        <f t="shared" si="5"/>
        <v>3.7602127599999999</v>
      </c>
      <c r="I14">
        <f t="shared" si="6"/>
        <v>-7.1234915529196918E-3</v>
      </c>
      <c r="J14">
        <f t="shared" si="7"/>
        <v>0.17771718628596356</v>
      </c>
      <c r="K14">
        <f t="shared" si="8"/>
        <v>0.53341120415960541</v>
      </c>
    </row>
    <row r="15" spans="2:13" x14ac:dyDescent="0.25">
      <c r="B15">
        <f>B14+L/100</f>
        <v>0.64</v>
      </c>
      <c r="C15">
        <f t="shared" si="0"/>
        <v>3.6899804547601818</v>
      </c>
      <c r="D15">
        <f t="shared" si="1"/>
        <v>-0.48299067333131618</v>
      </c>
      <c r="E15">
        <f t="shared" si="2"/>
        <v>6.5661128593040852E-3</v>
      </c>
      <c r="F15">
        <f t="shared" si="3"/>
        <v>9.8466012670196668E-3</v>
      </c>
      <c r="G15">
        <f t="shared" si="4"/>
        <v>-1.2904689863842663E-3</v>
      </c>
      <c r="H15">
        <f t="shared" si="5"/>
        <v>3.6805017599999998</v>
      </c>
      <c r="I15">
        <f t="shared" si="6"/>
        <v>-9.4786947601819271E-3</v>
      </c>
      <c r="J15">
        <f t="shared" si="7"/>
        <v>0.17764415653589008</v>
      </c>
      <c r="K15">
        <f t="shared" si="8"/>
        <v>0.71112839044556897</v>
      </c>
    </row>
    <row r="16" spans="2:13" x14ac:dyDescent="0.25">
      <c r="B16">
        <f>B15+L/100</f>
        <v>0.8</v>
      </c>
      <c r="C16">
        <f t="shared" si="0"/>
        <v>3.6127926799798287</v>
      </c>
      <c r="D16">
        <f t="shared" si="1"/>
        <v>-0.48181493973777106</v>
      </c>
      <c r="E16">
        <f t="shared" si="2"/>
        <v>8.1250510590015132E-3</v>
      </c>
      <c r="F16">
        <f t="shared" si="3"/>
        <v>9.6401262291981853E-3</v>
      </c>
      <c r="G16">
        <f t="shared" si="4"/>
        <v>-1.2904689863842663E-3</v>
      </c>
      <c r="H16">
        <f t="shared" si="5"/>
        <v>3.6009749999999996</v>
      </c>
      <c r="I16">
        <f t="shared" si="6"/>
        <v>-1.1817679979829077E-2</v>
      </c>
      <c r="J16">
        <f t="shared" si="7"/>
        <v>0.17755395158457166</v>
      </c>
      <c r="K16">
        <f t="shared" si="8"/>
        <v>0.88877254698145902</v>
      </c>
    </row>
    <row r="17" spans="2:12" x14ac:dyDescent="0.25">
      <c r="B17">
        <f>B16+L/100</f>
        <v>0.96000000000000008</v>
      </c>
      <c r="C17">
        <f t="shared" si="0"/>
        <v>3.5358128360297729</v>
      </c>
      <c r="D17">
        <f t="shared" si="1"/>
        <v>-0.48039241891275847</v>
      </c>
      <c r="E17">
        <f t="shared" si="2"/>
        <v>9.6509532526475057E-3</v>
      </c>
      <c r="F17">
        <f t="shared" si="3"/>
        <v>9.4336511913767022E-3</v>
      </c>
      <c r="G17">
        <f t="shared" si="4"/>
        <v>-1.2904689863842663E-3</v>
      </c>
      <c r="H17">
        <f t="shared" si="5"/>
        <v>3.5216761599999997</v>
      </c>
      <c r="I17">
        <f t="shared" si="6"/>
        <v>-1.4136676029773199E-2</v>
      </c>
      <c r="J17">
        <f t="shared" si="7"/>
        <v>0.17744705107754744</v>
      </c>
      <c r="K17">
        <f t="shared" si="8"/>
        <v>1.0663264985660308</v>
      </c>
    </row>
    <row r="18" spans="2:12" x14ac:dyDescent="0.25">
      <c r="B18">
        <f>B17+L/100</f>
        <v>1.1200000000000001</v>
      </c>
      <c r="C18">
        <f t="shared" si="0"/>
        <v>3.4590799860061723</v>
      </c>
      <c r="D18">
        <f t="shared" si="1"/>
        <v>-0.47872839661724659</v>
      </c>
      <c r="E18">
        <f t="shared" si="2"/>
        <v>1.1143819440242059E-2</v>
      </c>
      <c r="F18">
        <f t="shared" si="3"/>
        <v>9.227176153555219E-3</v>
      </c>
      <c r="G18">
        <f t="shared" si="4"/>
        <v>-1.2904689863842663E-3</v>
      </c>
      <c r="H18">
        <f t="shared" si="5"/>
        <v>3.4426479599999995</v>
      </c>
      <c r="I18">
        <f t="shared" si="6"/>
        <v>-1.6432026006172773E-2</v>
      </c>
      <c r="J18">
        <f t="shared" si="7"/>
        <v>0.17732395249494234</v>
      </c>
      <c r="K18">
        <f t="shared" si="8"/>
        <v>1.2437735496435782</v>
      </c>
    </row>
    <row r="19" spans="2:12" x14ac:dyDescent="0.25">
      <c r="B19">
        <f>B18+L/100</f>
        <v>1.28</v>
      </c>
      <c r="C19">
        <f t="shared" si="0"/>
        <v>3.3826323472834292</v>
      </c>
      <c r="D19">
        <f t="shared" si="1"/>
        <v>-0.47682815861220373</v>
      </c>
      <c r="E19">
        <f t="shared" si="2"/>
        <v>1.2603649621785175E-2</v>
      </c>
      <c r="F19">
        <f t="shared" si="3"/>
        <v>9.0207011157337376E-3</v>
      </c>
      <c r="G19">
        <f t="shared" si="4"/>
        <v>-1.2904689863842663E-3</v>
      </c>
      <c r="H19">
        <f t="shared" si="5"/>
        <v>3.3639321600000005</v>
      </c>
      <c r="I19">
        <f t="shared" si="6"/>
        <v>-1.8700187283428704E-2</v>
      </c>
      <c r="J19">
        <f t="shared" si="7"/>
        <v>0.17718516982218926</v>
      </c>
      <c r="K19">
        <f t="shared" si="8"/>
        <v>1.4210975021385206</v>
      </c>
    </row>
    <row r="20" spans="2:12" x14ac:dyDescent="0.25">
      <c r="B20">
        <f>B19+L/100</f>
        <v>1.44</v>
      </c>
      <c r="C20">
        <f t="shared" si="0"/>
        <v>3.3065072915141904</v>
      </c>
      <c r="D20">
        <f t="shared" si="1"/>
        <v>-0.47469699065859811</v>
      </c>
      <c r="E20">
        <f t="shared" si="2"/>
        <v>1.4030443797276852E-2</v>
      </c>
      <c r="F20">
        <f t="shared" si="3"/>
        <v>8.8142260779122544E-3</v>
      </c>
      <c r="G20">
        <f t="shared" si="4"/>
        <v>-1.2904689863842663E-3</v>
      </c>
      <c r="H20">
        <f t="shared" si="5"/>
        <v>3.2855695600000008</v>
      </c>
      <c r="I20">
        <f t="shared" si="6"/>
        <v>-2.093773151418965E-2</v>
      </c>
      <c r="J20">
        <f t="shared" si="7"/>
        <v>0.17703123226421102</v>
      </c>
      <c r="K20">
        <f t="shared" si="8"/>
        <v>1.5982826719607099</v>
      </c>
    </row>
    <row r="21" spans="2:12" x14ac:dyDescent="0.25">
      <c r="B21">
        <f>B20+L/100</f>
        <v>1.5999999999999999</v>
      </c>
      <c r="C21">
        <f t="shared" si="0"/>
        <v>3.2307413446293496</v>
      </c>
      <c r="D21">
        <f t="shared" si="1"/>
        <v>-0.4723401785173979</v>
      </c>
      <c r="E21">
        <f t="shared" si="2"/>
        <v>1.5424201966717095E-2</v>
      </c>
      <c r="F21">
        <f t="shared" si="3"/>
        <v>8.6077510400907713E-3</v>
      </c>
      <c r="G21">
        <f t="shared" si="4"/>
        <v>-1.2904689863842663E-3</v>
      </c>
      <c r="H21">
        <f t="shared" si="5"/>
        <v>3.2076000000000007</v>
      </c>
      <c r="I21">
        <f t="shared" si="6"/>
        <v>-2.3141344629348914E-2</v>
      </c>
      <c r="J21">
        <f t="shared" si="7"/>
        <v>0.17686268299923064</v>
      </c>
      <c r="K21">
        <f t="shared" si="8"/>
        <v>1.7753139042249209</v>
      </c>
      <c r="L21">
        <v>17.207009838657868</v>
      </c>
    </row>
    <row r="22" spans="2:12" x14ac:dyDescent="0.25">
      <c r="B22">
        <f>B21+L/100</f>
        <v>1.7599999999999998</v>
      </c>
      <c r="C22">
        <f t="shared" si="0"/>
        <v>3.1553701868380433</v>
      </c>
      <c r="D22">
        <f t="shared" si="1"/>
        <v>-0.46976300794957138</v>
      </c>
      <c r="E22">
        <f t="shared" si="2"/>
        <v>1.6784924130105898E-2</v>
      </c>
      <c r="F22">
        <f t="shared" si="3"/>
        <v>8.4012760022692898E-3</v>
      </c>
      <c r="G22">
        <f t="shared" si="4"/>
        <v>-1.2904689863842663E-3</v>
      </c>
      <c r="H22">
        <f t="shared" si="5"/>
        <v>3.1300623600000002</v>
      </c>
      <c r="I22">
        <f t="shared" si="6"/>
        <v>-2.5307826838043113E-2</v>
      </c>
      <c r="J22">
        <f t="shared" si="7"/>
        <v>0.1766800779686126</v>
      </c>
      <c r="K22">
        <f t="shared" si="8"/>
        <v>1.9521765872241514</v>
      </c>
    </row>
    <row r="23" spans="2:12" x14ac:dyDescent="0.25">
      <c r="B23">
        <f>B22+L/100</f>
        <v>1.9199999999999997</v>
      </c>
      <c r="C23">
        <f t="shared" si="0"/>
        <v>3.0804286526276554</v>
      </c>
      <c r="D23">
        <f t="shared" si="1"/>
        <v>-0.46697076471608673</v>
      </c>
      <c r="E23">
        <f t="shared" si="2"/>
        <v>1.8112610287443265E-2</v>
      </c>
      <c r="F23">
        <f t="shared" si="3"/>
        <v>8.1948009644478067E-3</v>
      </c>
      <c r="G23">
        <f t="shared" si="4"/>
        <v>-1.2904689863842663E-3</v>
      </c>
      <c r="H23">
        <f t="shared" si="5"/>
        <v>3.0529945599999997</v>
      </c>
      <c r="I23">
        <f t="shared" si="6"/>
        <v>-2.7434092627655726E-2</v>
      </c>
      <c r="J23">
        <f t="shared" si="7"/>
        <v>0.17648398469937385</v>
      </c>
      <c r="K23">
        <f t="shared" si="8"/>
        <v>2.1288566651927638</v>
      </c>
    </row>
    <row r="24" spans="2:12" x14ac:dyDescent="0.25">
      <c r="B24">
        <f>B23+L/100</f>
        <v>2.0799999999999996</v>
      </c>
      <c r="C24">
        <f t="shared" si="0"/>
        <v>3.0059507307638125</v>
      </c>
      <c r="D24">
        <f t="shared" si="1"/>
        <v>-0.46396873457791227</v>
      </c>
      <c r="E24">
        <f t="shared" si="2"/>
        <v>1.9407260438729194E-2</v>
      </c>
      <c r="F24">
        <f t="shared" si="3"/>
        <v>7.9883259266263253E-3</v>
      </c>
      <c r="G24">
        <f t="shared" si="4"/>
        <v>-1.2904689863842663E-3</v>
      </c>
      <c r="H24">
        <f t="shared" si="5"/>
        <v>2.9764335599999998</v>
      </c>
      <c r="I24">
        <f t="shared" si="6"/>
        <v>-2.9517170763812661E-2</v>
      </c>
      <c r="J24">
        <f t="shared" si="7"/>
        <v>0.17627498115622894</v>
      </c>
      <c r="K24">
        <f t="shared" si="8"/>
        <v>2.3053406498921376</v>
      </c>
    </row>
    <row r="25" spans="2:12" x14ac:dyDescent="0.25">
      <c r="B25">
        <f>B24+L/100</f>
        <v>2.2399999999999998</v>
      </c>
      <c r="C25">
        <f t="shared" si="0"/>
        <v>2.9319695642903882</v>
      </c>
      <c r="D25">
        <f t="shared" si="1"/>
        <v>-0.46076220329601614</v>
      </c>
      <c r="E25">
        <f t="shared" si="2"/>
        <v>2.066887458396369E-2</v>
      </c>
      <c r="F25">
        <f t="shared" si="3"/>
        <v>7.7818508888048421E-3</v>
      </c>
      <c r="G25">
        <f t="shared" si="4"/>
        <v>-1.2904689863842663E-3</v>
      </c>
      <c r="H25">
        <f t="shared" si="5"/>
        <v>2.9004153599999993</v>
      </c>
      <c r="I25">
        <f t="shared" si="6"/>
        <v>-3.155420429038891E-2</v>
      </c>
      <c r="J25">
        <f t="shared" si="7"/>
        <v>0.17605365462025468</v>
      </c>
      <c r="K25">
        <f t="shared" si="8"/>
        <v>2.4816156310483666</v>
      </c>
    </row>
    <row r="26" spans="2:12" x14ac:dyDescent="0.25">
      <c r="B26">
        <f>B25+L/100</f>
        <v>2.4</v>
      </c>
      <c r="C26">
        <f t="shared" si="0"/>
        <v>2.8585174505295008</v>
      </c>
      <c r="D26">
        <f t="shared" si="1"/>
        <v>-0.45735645663136659</v>
      </c>
      <c r="E26">
        <f t="shared" si="2"/>
        <v>2.1897452723146749E-2</v>
      </c>
      <c r="F26">
        <f t="shared" si="3"/>
        <v>7.5753758509833589E-3</v>
      </c>
      <c r="G26">
        <f t="shared" si="4"/>
        <v>-1.2904689863842663E-3</v>
      </c>
      <c r="H26">
        <f t="shared" si="5"/>
        <v>2.8249749999999993</v>
      </c>
      <c r="I26">
        <f t="shared" si="6"/>
        <v>-3.3542450529501444E-2</v>
      </c>
      <c r="J26">
        <f t="shared" si="7"/>
        <v>0.17582060059148238</v>
      </c>
      <c r="K26">
        <f t="shared" si="8"/>
        <v>2.6576692856686215</v>
      </c>
    </row>
    <row r="27" spans="2:12" x14ac:dyDescent="0.25">
      <c r="B27">
        <f>B26+L/100</f>
        <v>2.56</v>
      </c>
      <c r="C27">
        <f t="shared" si="0"/>
        <v>2.7856258410815129</v>
      </c>
      <c r="D27">
        <f t="shared" si="1"/>
        <v>-0.45375678034493194</v>
      </c>
      <c r="E27">
        <f t="shared" si="2"/>
        <v>2.3092994856278366E-2</v>
      </c>
      <c r="F27">
        <f t="shared" si="3"/>
        <v>7.3689008131618758E-3</v>
      </c>
      <c r="G27">
        <f t="shared" si="4"/>
        <v>-1.2904689863842663E-3</v>
      </c>
      <c r="H27">
        <f t="shared" si="5"/>
        <v>2.7501465599999992</v>
      </c>
      <c r="I27">
        <f t="shared" si="6"/>
        <v>-3.5479281081513658E-2</v>
      </c>
      <c r="J27">
        <f t="shared" si="7"/>
        <v>0.17557642171292906</v>
      </c>
      <c r="K27">
        <f t="shared" si="8"/>
        <v>2.8334898862601037</v>
      </c>
    </row>
    <row r="28" spans="2:12" x14ac:dyDescent="0.25">
      <c r="B28">
        <f>B27+L/100</f>
        <v>2.72</v>
      </c>
      <c r="C28">
        <f t="shared" si="0"/>
        <v>2.7133253418250325</v>
      </c>
      <c r="D28">
        <f t="shared" si="1"/>
        <v>-0.44996846019768028</v>
      </c>
      <c r="E28">
        <f t="shared" si="2"/>
        <v>2.4255500983358547E-2</v>
      </c>
      <c r="F28">
        <f t="shared" si="3"/>
        <v>7.1624257753403926E-3</v>
      </c>
      <c r="G28">
        <f t="shared" si="4"/>
        <v>-1.2904689863842663E-3</v>
      </c>
      <c r="H28">
        <f t="shared" si="5"/>
        <v>2.6759631599999993</v>
      </c>
      <c r="I28">
        <f t="shared" si="6"/>
        <v>-3.7362181825033147E-2</v>
      </c>
      <c r="J28">
        <f t="shared" si="7"/>
        <v>0.17532172671379925</v>
      </c>
      <c r="K28">
        <f t="shared" si="8"/>
        <v>3.0090663079730327</v>
      </c>
    </row>
    <row r="29" spans="2:12" x14ac:dyDescent="0.25">
      <c r="B29">
        <f>B28+L/100</f>
        <v>2.8800000000000003</v>
      </c>
      <c r="C29">
        <f t="shared" si="0"/>
        <v>2.6416457129169135</v>
      </c>
      <c r="D29">
        <f t="shared" si="1"/>
        <v>-0.4459967819505799</v>
      </c>
      <c r="E29">
        <f t="shared" si="2"/>
        <v>2.5384971104387297E-2</v>
      </c>
      <c r="F29">
        <f t="shared" si="3"/>
        <v>6.9559507375189103E-3</v>
      </c>
      <c r="G29">
        <f t="shared" si="4"/>
        <v>-1.2904689863842663E-3</v>
      </c>
      <c r="H29">
        <f t="shared" ref="H29:H92" si="9">-h/L^4*(x-L)^3*(x+L)</f>
        <v>2.6024569599999992</v>
      </c>
      <c r="I29">
        <f t="shared" si="6"/>
        <v>-3.9188752916914371E-2</v>
      </c>
      <c r="J29">
        <f t="shared" si="7"/>
        <v>0.17505712936978782</v>
      </c>
      <c r="K29">
        <f t="shared" si="8"/>
        <v>3.1843880346868318</v>
      </c>
    </row>
    <row r="30" spans="2:12" x14ac:dyDescent="0.25">
      <c r="B30">
        <f>B29+L/100</f>
        <v>3.0400000000000005</v>
      </c>
      <c r="C30">
        <f t="shared" si="0"/>
        <v>2.5706158687922538</v>
      </c>
      <c r="D30">
        <f t="shared" si="1"/>
        <v>-0.44184703136459907</v>
      </c>
      <c r="E30">
        <f t="shared" si="2"/>
        <v>2.6481405219364602E-2</v>
      </c>
      <c r="F30">
        <f t="shared" si="3"/>
        <v>6.7494756996974272E-3</v>
      </c>
      <c r="G30">
        <f t="shared" si="4"/>
        <v>-1.2904689863842663E-3</v>
      </c>
      <c r="H30">
        <f t="shared" si="9"/>
        <v>2.5296591599999991</v>
      </c>
      <c r="I30">
        <f t="shared" ref="I30:I93" si="10">H30-C30</f>
        <v>-4.0956708792254659E-2</v>
      </c>
      <c r="J30">
        <f t="shared" si="7"/>
        <v>0.1747832474786217</v>
      </c>
      <c r="K30">
        <f t="shared" si="8"/>
        <v>3.3594451640566199</v>
      </c>
    </row>
    <row r="31" spans="2:12" x14ac:dyDescent="0.25">
      <c r="B31">
        <f>B30+L/100</f>
        <v>3.2000000000000006</v>
      </c>
      <c r="C31">
        <f t="shared" si="0"/>
        <v>2.5002638781643971</v>
      </c>
      <c r="D31">
        <f t="shared" si="1"/>
        <v>-0.43752449420070599</v>
      </c>
      <c r="E31">
        <f t="shared" si="2"/>
        <v>2.7544803328290471E-2</v>
      </c>
      <c r="F31">
        <f t="shared" si="3"/>
        <v>6.5430006618759449E-3</v>
      </c>
      <c r="G31">
        <f t="shared" si="4"/>
        <v>-1.2904689863842663E-3</v>
      </c>
      <c r="H31">
        <f t="shared" si="9"/>
        <v>2.4575999999999993</v>
      </c>
      <c r="I31">
        <f t="shared" si="10"/>
        <v>-4.2663878164397762E-2</v>
      </c>
      <c r="J31">
        <f t="shared" si="7"/>
        <v>0.17450070184917948</v>
      </c>
      <c r="K31">
        <f t="shared" si="8"/>
        <v>3.5342284115352416</v>
      </c>
    </row>
    <row r="32" spans="2:12" x14ac:dyDescent="0.25">
      <c r="B32">
        <f>B31+L/100</f>
        <v>3.3600000000000008</v>
      </c>
      <c r="C32">
        <f t="shared" si="0"/>
        <v>2.4306169640249315</v>
      </c>
      <c r="D32">
        <f t="shared" si="1"/>
        <v>-0.43303445621986886</v>
      </c>
      <c r="E32">
        <f t="shared" si="2"/>
        <v>2.8575165431164905E-2</v>
      </c>
      <c r="F32">
        <f t="shared" si="3"/>
        <v>6.3365256240544617E-3</v>
      </c>
      <c r="G32">
        <f t="shared" si="4"/>
        <v>-1.2904689863842663E-3</v>
      </c>
      <c r="H32">
        <f t="shared" si="9"/>
        <v>2.386308759999999</v>
      </c>
      <c r="I32">
        <f t="shared" si="10"/>
        <v>-4.4308204024932518E-2</v>
      </c>
      <c r="J32">
        <f t="shared" si="7"/>
        <v>0.17421011530272676</v>
      </c>
      <c r="K32">
        <f t="shared" si="8"/>
        <v>3.7087291133844209</v>
      </c>
    </row>
    <row r="33" spans="2:11" x14ac:dyDescent="0.25">
      <c r="B33">
        <f>B32+L/100</f>
        <v>3.5200000000000009</v>
      </c>
      <c r="C33">
        <f t="shared" si="0"/>
        <v>2.3617015036436912</v>
      </c>
      <c r="D33">
        <f t="shared" si="1"/>
        <v>-0.42838220318305598</v>
      </c>
      <c r="E33">
        <f t="shared" si="2"/>
        <v>2.9572491527987906E-2</v>
      </c>
      <c r="F33">
        <f t="shared" si="3"/>
        <v>6.1300505862329794E-3</v>
      </c>
      <c r="G33">
        <f t="shared" si="4"/>
        <v>-1.2904689863842663E-3</v>
      </c>
      <c r="H33">
        <f t="shared" si="9"/>
        <v>2.3158137599999988</v>
      </c>
      <c r="I33">
        <f t="shared" si="10"/>
        <v>-4.5887743643692414E-2</v>
      </c>
      <c r="J33">
        <f t="shared" si="7"/>
        <v>0.17391211168500487</v>
      </c>
      <c r="K33">
        <f t="shared" si="8"/>
        <v>3.8829392286871478</v>
      </c>
    </row>
    <row r="34" spans="2:11" x14ac:dyDescent="0.25">
      <c r="B34">
        <f>B33+L/100</f>
        <v>3.680000000000001</v>
      </c>
      <c r="C34">
        <f t="shared" si="0"/>
        <v>2.2935430285687541</v>
      </c>
      <c r="D34">
        <f t="shared" si="1"/>
        <v>-0.42357302085123549</v>
      </c>
      <c r="E34">
        <f t="shared" si="2"/>
        <v>3.0536781618759466E-2</v>
      </c>
      <c r="F34">
        <f t="shared" si="3"/>
        <v>5.9235755484114963E-3</v>
      </c>
      <c r="G34">
        <f t="shared" si="4"/>
        <v>-1.2904689863842663E-3</v>
      </c>
      <c r="H34">
        <f t="shared" si="9"/>
        <v>2.2461423599999994</v>
      </c>
      <c r="I34">
        <f t="shared" si="10"/>
        <v>-4.7400668568754689E-2</v>
      </c>
      <c r="J34">
        <f t="shared" si="7"/>
        <v>0.17360731488810757</v>
      </c>
      <c r="K34">
        <f t="shared" si="8"/>
        <v>4.0568513403721527</v>
      </c>
    </row>
    <row r="35" spans="2:11" x14ac:dyDescent="0.25">
      <c r="B35">
        <f>B34+L/100</f>
        <v>3.8400000000000012</v>
      </c>
      <c r="C35">
        <f t="shared" si="0"/>
        <v>2.2261662246264442</v>
      </c>
      <c r="D35">
        <f t="shared" si="1"/>
        <v>-0.41861219498537566</v>
      </c>
      <c r="E35">
        <f t="shared" si="2"/>
        <v>3.1468035703479585E-2</v>
      </c>
      <c r="F35">
        <f t="shared" si="3"/>
        <v>5.717100510590014E-3</v>
      </c>
      <c r="G35">
        <f t="shared" si="4"/>
        <v>-1.2904689863842663E-3</v>
      </c>
      <c r="H35">
        <f t="shared" si="9"/>
        <v>2.1773209599999994</v>
      </c>
      <c r="I35">
        <f t="shared" si="10"/>
        <v>-4.8845264626444784E-2</v>
      </c>
      <c r="J35">
        <f t="shared" si="7"/>
        <v>0.17329634788127551</v>
      </c>
      <c r="K35">
        <f t="shared" si="8"/>
        <v>4.2304586552602599</v>
      </c>
    </row>
    <row r="36" spans="2:11" x14ac:dyDescent="0.25">
      <c r="B36">
        <f>B35+L/100</f>
        <v>4.0000000000000009</v>
      </c>
      <c r="C36">
        <f t="shared" si="0"/>
        <v>2.159594931921331</v>
      </c>
      <c r="D36">
        <f t="shared" si="1"/>
        <v>-0.41350501134644474</v>
      </c>
      <c r="E36">
        <f t="shared" si="2"/>
        <v>3.236625378214826E-2</v>
      </c>
      <c r="F36">
        <f t="shared" si="3"/>
        <v>5.5106254727685317E-3</v>
      </c>
      <c r="G36">
        <f t="shared" si="4"/>
        <v>-1.2904689863842663E-3</v>
      </c>
      <c r="H36">
        <f t="shared" si="9"/>
        <v>2.109375</v>
      </c>
      <c r="I36">
        <f t="shared" si="10"/>
        <v>-5.0219931921331007E-2</v>
      </c>
      <c r="J36">
        <f t="shared" si="7"/>
        <v>0.17297983174993825</v>
      </c>
      <c r="K36">
        <f t="shared" si="8"/>
        <v>4.4037550031415353</v>
      </c>
    </row>
    <row r="37" spans="2:11" x14ac:dyDescent="0.25">
      <c r="B37">
        <f>B36+L/100</f>
        <v>4.160000000000001</v>
      </c>
      <c r="C37">
        <f t="shared" si="0"/>
        <v>2.0938521448362275</v>
      </c>
      <c r="D37">
        <f t="shared" si="1"/>
        <v>-0.40825675569541098</v>
      </c>
      <c r="E37">
        <f t="shared" si="2"/>
        <v>3.3231435854765512E-2</v>
      </c>
      <c r="F37">
        <f t="shared" si="3"/>
        <v>5.3041504349470485E-3</v>
      </c>
      <c r="G37">
        <f t="shared" si="4"/>
        <v>-1.2904689863842663E-3</v>
      </c>
      <c r="H37">
        <f t="shared" si="9"/>
        <v>2.0423289599999999</v>
      </c>
      <c r="I37">
        <f t="shared" si="10"/>
        <v>-5.1523184836227642E-2</v>
      </c>
      <c r="J37">
        <f t="shared" si="7"/>
        <v>0.17265838474251469</v>
      </c>
      <c r="K37">
        <f t="shared" si="8"/>
        <v>4.5767348348914734</v>
      </c>
    </row>
    <row r="38" spans="2:11" x14ac:dyDescent="0.25">
      <c r="B38">
        <f>B37+L/100</f>
        <v>4.3200000000000012</v>
      </c>
      <c r="C38">
        <f t="shared" si="0"/>
        <v>2.0289600120321931</v>
      </c>
      <c r="D38">
        <f t="shared" si="1"/>
        <v>-0.40287271379324252</v>
      </c>
      <c r="E38">
        <f t="shared" si="2"/>
        <v>3.4063581921331326E-2</v>
      </c>
      <c r="F38">
        <f t="shared" si="3"/>
        <v>5.0976753971255662E-3</v>
      </c>
      <c r="G38">
        <f t="shared" si="4"/>
        <v>-1.2904689863842663E-3</v>
      </c>
      <c r="H38">
        <f t="shared" si="9"/>
        <v>1.9762063599999997</v>
      </c>
      <c r="I38">
        <f t="shared" si="10"/>
        <v>-5.2753652032193399E-2</v>
      </c>
      <c r="J38">
        <f t="shared" si="7"/>
        <v>0.17233262132470278</v>
      </c>
      <c r="K38">
        <f t="shared" si="8"/>
        <v>4.7493932196339879</v>
      </c>
    </row>
    <row r="39" spans="2:11" x14ac:dyDescent="0.25">
      <c r="B39">
        <f>B38+L/100</f>
        <v>4.4800000000000013</v>
      </c>
      <c r="C39">
        <f t="shared" si="0"/>
        <v>1.964939836448532</v>
      </c>
      <c r="D39">
        <f t="shared" si="1"/>
        <v>-0.39735817140090768</v>
      </c>
      <c r="E39">
        <f t="shared" si="2"/>
        <v>3.4862691981845696E-2</v>
      </c>
      <c r="F39">
        <f t="shared" si="3"/>
        <v>4.8912003593040831E-3</v>
      </c>
      <c r="G39">
        <f t="shared" si="4"/>
        <v>-1.2904689863842663E-3</v>
      </c>
      <c r="H39">
        <f t="shared" si="9"/>
        <v>1.9110297599999999</v>
      </c>
      <c r="I39">
        <f t="shared" si="10"/>
        <v>-5.3910076448532074E-2</v>
      </c>
      <c r="J39">
        <f t="shared" si="7"/>
        <v>0.17200315124114809</v>
      </c>
      <c r="K39">
        <f t="shared" si="8"/>
        <v>4.9217258409586906</v>
      </c>
    </row>
    <row r="40" spans="2:11" x14ac:dyDescent="0.25">
      <c r="B40">
        <f>B39+L/100</f>
        <v>4.6400000000000015</v>
      </c>
      <c r="C40">
        <f t="shared" si="0"/>
        <v>1.9018120753027934</v>
      </c>
      <c r="D40">
        <f t="shared" si="1"/>
        <v>-0.39171841427937465</v>
      </c>
      <c r="E40">
        <f t="shared" si="2"/>
        <v>3.5628766036308629E-2</v>
      </c>
      <c r="F40">
        <f t="shared" si="3"/>
        <v>4.6847253214825999E-3</v>
      </c>
      <c r="G40">
        <f t="shared" si="4"/>
        <v>-1.2904689863842663E-3</v>
      </c>
      <c r="H40">
        <f t="shared" si="9"/>
        <v>1.84682076</v>
      </c>
      <c r="I40">
        <f t="shared" si="10"/>
        <v>-5.4991315302793442E-2</v>
      </c>
      <c r="J40">
        <f t="shared" si="7"/>
        <v>0.17167057858459939</v>
      </c>
      <c r="K40">
        <f t="shared" si="8"/>
        <v>5.0937289921998383</v>
      </c>
    </row>
    <row r="41" spans="2:11" x14ac:dyDescent="0.25">
      <c r="B41">
        <f>B40+L/100</f>
        <v>4.8000000000000016</v>
      </c>
      <c r="C41">
        <f t="shared" si="0"/>
        <v>1.8395963400907709</v>
      </c>
      <c r="D41">
        <f t="shared" si="1"/>
        <v>-0.38595872818961163</v>
      </c>
      <c r="E41">
        <f t="shared" si="2"/>
        <v>3.6361804084720124E-2</v>
      </c>
      <c r="F41">
        <f t="shared" si="3"/>
        <v>4.4782502836611176E-3</v>
      </c>
      <c r="G41">
        <f t="shared" si="4"/>
        <v>-1.2904689863842663E-3</v>
      </c>
      <c r="H41">
        <f t="shared" si="9"/>
        <v>1.7835999999999996</v>
      </c>
      <c r="I41">
        <f t="shared" si="10"/>
        <v>-5.5996340090771257E-2</v>
      </c>
      <c r="J41">
        <f t="shared" si="7"/>
        <v>0.17133550087283372</v>
      </c>
      <c r="K41">
        <f t="shared" si="8"/>
        <v>5.2653995707844379</v>
      </c>
    </row>
    <row r="42" spans="2:11" x14ac:dyDescent="0.25">
      <c r="B42">
        <f>B41+L/100</f>
        <v>4.9600000000000017</v>
      </c>
      <c r="C42">
        <f t="shared" si="0"/>
        <v>1.7783113965865045</v>
      </c>
      <c r="D42">
        <f t="shared" si="1"/>
        <v>-0.38008439889258694</v>
      </c>
      <c r="E42">
        <f t="shared" si="2"/>
        <v>3.7061806127080182E-2</v>
      </c>
      <c r="F42">
        <f t="shared" si="3"/>
        <v>4.2717752458396345E-3</v>
      </c>
      <c r="G42">
        <f t="shared" si="4"/>
        <v>-1.2904689863842663E-3</v>
      </c>
      <c r="H42">
        <f t="shared" si="9"/>
        <v>1.7213871599999997</v>
      </c>
      <c r="I42">
        <f t="shared" si="10"/>
        <v>-5.6924236586504806E-2</v>
      </c>
      <c r="J42">
        <f t="shared" si="7"/>
        <v>0.17099850813382503</v>
      </c>
      <c r="K42">
        <f t="shared" si="8"/>
        <v>5.4367350716572718</v>
      </c>
    </row>
    <row r="43" spans="2:11" x14ac:dyDescent="0.25">
      <c r="B43">
        <f>B42+L/100</f>
        <v>5.1200000000000019</v>
      </c>
      <c r="C43">
        <f t="shared" ref="C43:C74" si="11">A*x^4+B*x^3+C_*x^2+D*x+E</f>
        <v>1.7179751648422785</v>
      </c>
      <c r="D43">
        <f t="shared" ref="D43:D74" si="12">4*A*x^3+3*B*x^2+2*C_*x+D</f>
        <v>-0.37410071214926871</v>
      </c>
      <c r="E43">
        <f t="shared" ref="E43:E74" si="13">12*A*x^2+6*B*x+2*C_</f>
        <v>3.7728772163388817E-2</v>
      </c>
      <c r="F43">
        <f t="shared" ref="F43:F74" si="14">24*A*x+6*B</f>
        <v>4.0653002080181522E-3</v>
      </c>
      <c r="G43">
        <f t="shared" ref="G43:G74" si="15">24*A</f>
        <v>-1.2904689863842663E-3</v>
      </c>
      <c r="H43">
        <f t="shared" si="9"/>
        <v>1.6602009599999998</v>
      </c>
      <c r="I43">
        <f t="shared" si="10"/>
        <v>-5.7774204842278687E-2</v>
      </c>
      <c r="J43">
        <f t="shared" si="7"/>
        <v>0.17066018199981287</v>
      </c>
      <c r="K43">
        <f t="shared" si="8"/>
        <v>5.6077335797910965</v>
      </c>
    </row>
    <row r="44" spans="2:11" x14ac:dyDescent="0.25">
      <c r="B44">
        <f>B43+L/100</f>
        <v>5.280000000000002</v>
      </c>
      <c r="C44">
        <f t="shared" si="11"/>
        <v>1.6586047191886224</v>
      </c>
      <c r="D44">
        <f t="shared" si="12"/>
        <v>-0.36801295372062526</v>
      </c>
      <c r="E44">
        <f t="shared" si="13"/>
        <v>3.8362702193646001E-2</v>
      </c>
      <c r="F44">
        <f t="shared" si="14"/>
        <v>3.858825170196669E-3</v>
      </c>
      <c r="G44">
        <f t="shared" si="15"/>
        <v>-1.2904689863842663E-3</v>
      </c>
      <c r="H44">
        <f t="shared" si="9"/>
        <v>1.6000591599999996</v>
      </c>
      <c r="I44">
        <f t="shared" si="10"/>
        <v>-5.8545559188622809E-2</v>
      </c>
      <c r="J44">
        <f t="shared" si="7"/>
        <v>0.17032109481110802</v>
      </c>
      <c r="K44">
        <f t="shared" si="8"/>
        <v>5.7783937617909098</v>
      </c>
    </row>
    <row r="45" spans="2:11" x14ac:dyDescent="0.25">
      <c r="B45">
        <f>B44+L/100</f>
        <v>5.4400000000000022</v>
      </c>
      <c r="C45">
        <f t="shared" si="11"/>
        <v>1.6002162882343112</v>
      </c>
      <c r="D45">
        <f t="shared" si="12"/>
        <v>-0.36182640936762472</v>
      </c>
      <c r="E45">
        <f t="shared" si="13"/>
        <v>3.8963596217851747E-2</v>
      </c>
      <c r="F45">
        <f t="shared" si="14"/>
        <v>3.6523501323751867E-3</v>
      </c>
      <c r="G45">
        <f t="shared" si="15"/>
        <v>-1.2904689863842663E-3</v>
      </c>
      <c r="H45">
        <f t="shared" si="9"/>
        <v>1.5409785599999994</v>
      </c>
      <c r="I45">
        <f t="shared" si="10"/>
        <v>-5.9237728234311726E-2</v>
      </c>
      <c r="J45">
        <f t="shared" si="7"/>
        <v>0.16998180873064697</v>
      </c>
      <c r="K45">
        <f t="shared" si="8"/>
        <v>5.9487148566020176</v>
      </c>
    </row>
    <row r="46" spans="2:11" x14ac:dyDescent="0.25">
      <c r="B46">
        <f>B45+L/100</f>
        <v>5.6000000000000023</v>
      </c>
      <c r="C46">
        <f t="shared" si="11"/>
        <v>1.5428252548663632</v>
      </c>
      <c r="D46">
        <f t="shared" si="12"/>
        <v>-0.35554636485123542</v>
      </c>
      <c r="E46">
        <f t="shared" si="13"/>
        <v>3.9531454236006056E-2</v>
      </c>
      <c r="F46">
        <f t="shared" si="14"/>
        <v>3.4458750945537036E-3</v>
      </c>
      <c r="G46">
        <f t="shared" si="15"/>
        <v>-1.2904689863842663E-3</v>
      </c>
      <c r="H46">
        <f t="shared" si="9"/>
        <v>1.4829749999999995</v>
      </c>
      <c r="I46">
        <f t="shared" si="10"/>
        <v>-5.985025486636375E-2</v>
      </c>
      <c r="J46">
        <f t="shared" si="7"/>
        <v>0.16964287487047791</v>
      </c>
      <c r="K46">
        <f t="shared" si="8"/>
        <v>6.1186966653326644</v>
      </c>
    </row>
    <row r="47" spans="2:11" x14ac:dyDescent="0.25">
      <c r="B47">
        <f>B46+L/100</f>
        <v>5.7600000000000025</v>
      </c>
      <c r="C47">
        <f t="shared" si="11"/>
        <v>1.4864461562500444</v>
      </c>
      <c r="D47">
        <f t="shared" si="12"/>
        <v>-0.34917810593242549</v>
      </c>
      <c r="E47">
        <f t="shared" si="13"/>
        <v>4.0066276248108934E-2</v>
      </c>
      <c r="F47">
        <f t="shared" si="14"/>
        <v>3.2394000567322204E-3</v>
      </c>
      <c r="G47">
        <f t="shared" si="15"/>
        <v>-1.2904689863842663E-3</v>
      </c>
      <c r="H47">
        <f t="shared" si="9"/>
        <v>1.4260633599999994</v>
      </c>
      <c r="I47">
        <f t="shared" si="10"/>
        <v>-6.0382796250044946E-2</v>
      </c>
      <c r="J47">
        <f t="shared" si="7"/>
        <v>0.16930483243152386</v>
      </c>
      <c r="K47">
        <f t="shared" si="8"/>
        <v>6.2883395402031423</v>
      </c>
    </row>
    <row r="48" spans="2:11" x14ac:dyDescent="0.25">
      <c r="B48">
        <f>B47+L/100</f>
        <v>5.9200000000000026</v>
      </c>
      <c r="C48">
        <f t="shared" si="11"/>
        <v>1.4310926838288647</v>
      </c>
      <c r="D48">
        <f t="shared" si="12"/>
        <v>-0.34272691837216329</v>
      </c>
      <c r="E48">
        <f t="shared" si="13"/>
        <v>4.0568062254160361E-2</v>
      </c>
      <c r="F48">
        <f t="shared" si="14"/>
        <v>3.0329250189107381E-3</v>
      </c>
      <c r="G48">
        <f t="shared" si="15"/>
        <v>-1.2904689863842663E-3</v>
      </c>
      <c r="H48">
        <f t="shared" si="9"/>
        <v>1.3702575599999993</v>
      </c>
      <c r="I48">
        <f t="shared" si="10"/>
        <v>-6.0835123828865356E-2</v>
      </c>
      <c r="J48">
        <f t="shared" si="7"/>
        <v>0.16896820785812594</v>
      </c>
      <c r="K48">
        <f t="shared" si="8"/>
        <v>6.4576443726346664</v>
      </c>
    </row>
    <row r="49" spans="2:12" x14ac:dyDescent="0.25">
      <c r="B49">
        <f>B48+L/100</f>
        <v>6.0800000000000027</v>
      </c>
      <c r="C49">
        <f t="shared" si="11"/>
        <v>1.3767776833245779</v>
      </c>
      <c r="D49">
        <f t="shared" si="12"/>
        <v>-0.33619808793141692</v>
      </c>
      <c r="E49">
        <f t="shared" si="13"/>
        <v>4.1036812254160365E-2</v>
      </c>
      <c r="F49">
        <f t="shared" si="14"/>
        <v>2.826449981089255E-3</v>
      </c>
      <c r="G49">
        <f t="shared" si="15"/>
        <v>-1.2904689863842663E-3</v>
      </c>
      <c r="H49">
        <f t="shared" si="9"/>
        <v>1.3155705599999994</v>
      </c>
      <c r="I49">
        <f t="shared" si="10"/>
        <v>-6.1207123324578561E-2</v>
      </c>
      <c r="J49">
        <f t="shared" si="7"/>
        <v>0.16863351400901719</v>
      </c>
      <c r="K49">
        <f t="shared" si="8"/>
        <v>6.6266125804927922</v>
      </c>
    </row>
    <row r="50" spans="2:12" x14ac:dyDescent="0.25">
      <c r="B50">
        <f>B49+L/100</f>
        <v>6.2400000000000029</v>
      </c>
      <c r="C50">
        <f t="shared" si="11"/>
        <v>1.323513154737185</v>
      </c>
      <c r="D50">
        <f t="shared" si="12"/>
        <v>-0.32959690037115469</v>
      </c>
      <c r="E50">
        <f t="shared" si="13"/>
        <v>4.1472526248108925E-2</v>
      </c>
      <c r="F50">
        <f t="shared" si="14"/>
        <v>2.6199749432677718E-3</v>
      </c>
      <c r="G50">
        <f t="shared" si="15"/>
        <v>-1.2904689863842663E-3</v>
      </c>
      <c r="H50">
        <f t="shared" si="9"/>
        <v>1.2620143599999993</v>
      </c>
      <c r="I50">
        <f t="shared" si="10"/>
        <v>-6.1498794737185669E-2</v>
      </c>
      <c r="J50">
        <f t="shared" si="7"/>
        <v>0.16830124934651561</v>
      </c>
      <c r="K50">
        <f t="shared" si="8"/>
        <v>6.7952460945018096</v>
      </c>
    </row>
    <row r="51" spans="2:12" x14ac:dyDescent="0.25">
      <c r="B51">
        <f>B50+L/100</f>
        <v>6.400000000000003</v>
      </c>
      <c r="C51">
        <f t="shared" si="11"/>
        <v>1.2713102523449309</v>
      </c>
      <c r="D51">
        <f t="shared" si="12"/>
        <v>-0.32292864145234479</v>
      </c>
      <c r="E51">
        <f t="shared" si="13"/>
        <v>4.1875204236006068E-2</v>
      </c>
      <c r="F51">
        <f t="shared" si="14"/>
        <v>2.4134999054462904E-3</v>
      </c>
      <c r="G51">
        <f t="shared" si="15"/>
        <v>-1.2904689863842663E-3</v>
      </c>
      <c r="H51">
        <f t="shared" si="9"/>
        <v>1.2095999999999991</v>
      </c>
      <c r="I51">
        <f t="shared" si="10"/>
        <v>-6.1710252344931771E-2</v>
      </c>
      <c r="J51">
        <f t="shared" si="7"/>
        <v>0.16797189714585428</v>
      </c>
      <c r="K51">
        <f t="shared" si="8"/>
        <v>6.9635473438483251</v>
      </c>
    </row>
    <row r="52" spans="2:12" x14ac:dyDescent="0.25">
      <c r="B52">
        <f>B51+L/100</f>
        <v>6.5600000000000032</v>
      </c>
      <c r="C52">
        <f t="shared" si="11"/>
        <v>1.2201792847043058</v>
      </c>
      <c r="D52">
        <f t="shared" si="12"/>
        <v>-0.31619859693595548</v>
      </c>
      <c r="E52">
        <f t="shared" si="13"/>
        <v>4.2244846217851753E-2</v>
      </c>
      <c r="F52">
        <f t="shared" si="14"/>
        <v>2.2070248676248072E-3</v>
      </c>
      <c r="G52">
        <f t="shared" si="15"/>
        <v>-1.2904689863842663E-3</v>
      </c>
      <c r="H52">
        <f t="shared" si="9"/>
        <v>1.1583375599999994</v>
      </c>
      <c r="I52">
        <f t="shared" si="10"/>
        <v>-6.1841724704306378E-2</v>
      </c>
      <c r="J52">
        <f t="shared" si="7"/>
        <v>0.16764592472668027</v>
      </c>
      <c r="K52">
        <f t="shared" si="8"/>
        <v>7.1315192409941792</v>
      </c>
    </row>
    <row r="53" spans="2:12" x14ac:dyDescent="0.25">
      <c r="B53">
        <f>B52+L/100</f>
        <v>6.7200000000000033</v>
      </c>
      <c r="C53">
        <f t="shared" si="11"/>
        <v>1.1701297146500442</v>
      </c>
      <c r="D53">
        <f t="shared" si="12"/>
        <v>-0.30941205258295501</v>
      </c>
      <c r="E53">
        <f t="shared" si="13"/>
        <v>4.2581452193646008E-2</v>
      </c>
      <c r="F53">
        <f t="shared" si="14"/>
        <v>2.000549829803324E-3</v>
      </c>
      <c r="G53">
        <f t="shared" si="15"/>
        <v>-1.2904689863842663E-3</v>
      </c>
      <c r="H53">
        <f t="shared" si="9"/>
        <v>1.1082361599999992</v>
      </c>
      <c r="I53">
        <f t="shared" si="10"/>
        <v>-6.189355465004498E-2</v>
      </c>
      <c r="J53">
        <f t="shared" si="7"/>
        <v>0.16732378270885939</v>
      </c>
      <c r="K53">
        <f t="shared" si="8"/>
        <v>7.2991651657208596</v>
      </c>
    </row>
    <row r="54" spans="2:12" x14ac:dyDescent="0.25">
      <c r="B54">
        <f>B53+L/100</f>
        <v>6.8800000000000034</v>
      </c>
      <c r="C54">
        <f t="shared" si="11"/>
        <v>1.1211701592951275</v>
      </c>
      <c r="D54">
        <f t="shared" si="12"/>
        <v>-0.30257429415431153</v>
      </c>
      <c r="E54">
        <f t="shared" si="13"/>
        <v>4.2885022163388811E-2</v>
      </c>
      <c r="F54">
        <f t="shared" si="14"/>
        <v>1.7940747919818409E-3</v>
      </c>
      <c r="G54">
        <f t="shared" si="15"/>
        <v>-1.2904689863842663E-3</v>
      </c>
      <c r="H54">
        <f t="shared" si="9"/>
        <v>1.0593039599999992</v>
      </c>
      <c r="I54">
        <f t="shared" si="10"/>
        <v>-6.1866199295128377E-2</v>
      </c>
      <c r="J54">
        <f t="shared" si="7"/>
        <v>0.16700590429481096</v>
      </c>
      <c r="K54">
        <f t="shared" si="8"/>
        <v>7.4664889484297188</v>
      </c>
    </row>
    <row r="55" spans="2:12" x14ac:dyDescent="0.25">
      <c r="B55">
        <f>B54+L/100</f>
        <v>7.0400000000000036</v>
      </c>
      <c r="C55">
        <f t="shared" si="11"/>
        <v>1.0733083900307805</v>
      </c>
      <c r="D55">
        <f t="shared" si="12"/>
        <v>-0.29569060741099329</v>
      </c>
      <c r="E55">
        <f t="shared" si="13"/>
        <v>4.3155556127080191E-2</v>
      </c>
      <c r="F55">
        <f t="shared" si="14"/>
        <v>1.5875997541603577E-3</v>
      </c>
      <c r="G55">
        <f t="shared" si="15"/>
        <v>-1.2904689863842663E-3</v>
      </c>
      <c r="H55">
        <f t="shared" si="9"/>
        <v>1.0115481599999994</v>
      </c>
      <c r="I55">
        <f t="shared" si="10"/>
        <v>-6.1760230030781127E-2</v>
      </c>
      <c r="J55">
        <f t="shared" si="7"/>
        <v>0.16669270458067226</v>
      </c>
      <c r="K55">
        <f t="shared" si="8"/>
        <v>7.6334948527245299</v>
      </c>
    </row>
    <row r="56" spans="2:12" x14ac:dyDescent="0.25">
      <c r="B56">
        <f>B55+L/100</f>
        <v>7.2000000000000037</v>
      </c>
      <c r="C56">
        <f t="shared" si="11"/>
        <v>1.0265513325264739</v>
      </c>
      <c r="D56">
        <f t="shared" si="12"/>
        <v>-0.2887662781139686</v>
      </c>
      <c r="E56">
        <f t="shared" si="13"/>
        <v>4.3393054084720127E-2</v>
      </c>
      <c r="F56">
        <f t="shared" si="14"/>
        <v>1.3811247163388763E-3</v>
      </c>
      <c r="G56">
        <f t="shared" si="15"/>
        <v>-1.2904689863842663E-3</v>
      </c>
      <c r="H56">
        <f t="shared" si="9"/>
        <v>0.96497499999999925</v>
      </c>
      <c r="I56">
        <f t="shared" si="10"/>
        <v>-6.1576332526474653E-2</v>
      </c>
      <c r="J56">
        <f t="shared" si="7"/>
        <v>0.16638457989864877</v>
      </c>
      <c r="K56">
        <f t="shared" si="8"/>
        <v>7.8001875573052022</v>
      </c>
    </row>
    <row r="57" spans="2:12" x14ac:dyDescent="0.25">
      <c r="B57">
        <f>B56+L/100</f>
        <v>7.3600000000000039</v>
      </c>
      <c r="C57">
        <f t="shared" si="11"/>
        <v>0.98090506672992372</v>
      </c>
      <c r="D57">
        <f t="shared" si="12"/>
        <v>-0.28180659202420555</v>
      </c>
      <c r="E57">
        <f t="shared" si="13"/>
        <v>4.3597516036308626E-2</v>
      </c>
      <c r="F57">
        <f t="shared" si="14"/>
        <v>1.1746496785173931E-3</v>
      </c>
      <c r="G57">
        <f t="shared" si="15"/>
        <v>-1.2904689863842663E-3</v>
      </c>
      <c r="H57">
        <f t="shared" si="9"/>
        <v>0.91958975999999915</v>
      </c>
      <c r="I57">
        <f t="shared" si="10"/>
        <v>-6.1315306729924579E-2</v>
      </c>
      <c r="J57">
        <f t="shared" si="7"/>
        <v>0.1660819071929491</v>
      </c>
      <c r="K57">
        <f t="shared" si="8"/>
        <v>7.9665721372038512</v>
      </c>
    </row>
    <row r="58" spans="2:12" x14ac:dyDescent="0.25">
      <c r="B58">
        <f>B57+L/100</f>
        <v>7.520000000000004</v>
      </c>
      <c r="C58">
        <f t="shared" si="11"/>
        <v>0.93637482686708928</v>
      </c>
      <c r="D58">
        <f t="shared" si="12"/>
        <v>-0.2748168349026725</v>
      </c>
      <c r="E58">
        <f t="shared" si="13"/>
        <v>4.3768941981845694E-2</v>
      </c>
      <c r="F58">
        <f t="shared" si="14"/>
        <v>9.6817464069590999E-4</v>
      </c>
      <c r="G58">
        <f t="shared" si="15"/>
        <v>-1.2904689863842663E-3</v>
      </c>
      <c r="H58">
        <f t="shared" si="9"/>
        <v>0.87539675999999922</v>
      </c>
      <c r="I58">
        <f t="shared" si="10"/>
        <v>-6.0978066867090064E-2</v>
      </c>
      <c r="J58">
        <f t="shared" si="7"/>
        <v>0.16578504343172562</v>
      </c>
      <c r="K58">
        <f t="shared" si="8"/>
        <v>8.1326540443967996</v>
      </c>
    </row>
    <row r="59" spans="2:12" x14ac:dyDescent="0.25">
      <c r="B59">
        <f>B58+L/100</f>
        <v>7.6800000000000042</v>
      </c>
      <c r="C59">
        <f t="shared" si="11"/>
        <v>0.89296500144217728</v>
      </c>
      <c r="D59">
        <f t="shared" si="12"/>
        <v>-0.26780229251033771</v>
      </c>
      <c r="E59">
        <f t="shared" si="13"/>
        <v>4.3907331921331318E-2</v>
      </c>
      <c r="F59">
        <f t="shared" si="14"/>
        <v>7.6169960287442683E-4</v>
      </c>
      <c r="G59">
        <f t="shared" si="15"/>
        <v>-1.2904689863842663E-3</v>
      </c>
      <c r="H59">
        <f t="shared" si="9"/>
        <v>0.83239935999999914</v>
      </c>
      <c r="I59">
        <f t="shared" si="10"/>
        <v>-6.0565641442178131E-2</v>
      </c>
      <c r="J59">
        <f t="shared" si="7"/>
        <v>0.16549432505744691</v>
      </c>
      <c r="K59">
        <f t="shared" si="8"/>
        <v>8.298439087828525</v>
      </c>
    </row>
    <row r="60" spans="2:12" x14ac:dyDescent="0.25">
      <c r="B60">
        <f>B59+L/100</f>
        <v>7.8400000000000043</v>
      </c>
      <c r="C60">
        <f t="shared" si="11"/>
        <v>0.85067913323763911</v>
      </c>
      <c r="D60">
        <f t="shared" si="12"/>
        <v>-0.26076825060816922</v>
      </c>
      <c r="E60">
        <f t="shared" si="13"/>
        <v>4.4012685854765504E-2</v>
      </c>
      <c r="F60">
        <f t="shared" si="14"/>
        <v>5.5522456505294367E-4</v>
      </c>
      <c r="G60">
        <f t="shared" si="15"/>
        <v>-1.2904689863842663E-3</v>
      </c>
      <c r="H60">
        <f t="shared" si="9"/>
        <v>0.7905999599999991</v>
      </c>
      <c r="I60">
        <f t="shared" si="10"/>
        <v>-6.0079173237640005E-2</v>
      </c>
      <c r="J60">
        <f t="shared" si="7"/>
        <v>0.16521006747811606</v>
      </c>
      <c r="K60">
        <f t="shared" si="8"/>
        <v>8.4639334128859716</v>
      </c>
    </row>
    <row r="61" spans="2:12" x14ac:dyDescent="0.25">
      <c r="B61">
        <f>B60+L/100</f>
        <v>8.0000000000000036</v>
      </c>
      <c r="C61">
        <f t="shared" si="11"/>
        <v>0.80951991931416956</v>
      </c>
      <c r="D61">
        <f t="shared" si="12"/>
        <v>-0.25371999495713554</v>
      </c>
      <c r="E61">
        <f t="shared" si="13"/>
        <v>4.4085003782148267E-2</v>
      </c>
      <c r="F61">
        <f t="shared" si="14"/>
        <v>3.4874952723146224E-4</v>
      </c>
      <c r="G61">
        <f t="shared" si="15"/>
        <v>-1.2904689863842663E-3</v>
      </c>
      <c r="H61">
        <f t="shared" si="9"/>
        <v>0.74999999999999911</v>
      </c>
      <c r="I61">
        <f t="shared" si="10"/>
        <v>-5.9519919314170444E-2</v>
      </c>
      <c r="J61">
        <f t="shared" si="7"/>
        <v>0.16493256460172107</v>
      </c>
      <c r="K61">
        <f t="shared" si="8"/>
        <v>8.6291434803640872</v>
      </c>
      <c r="L61">
        <v>17.207003876389301</v>
      </c>
    </row>
    <row r="62" spans="2:12" x14ac:dyDescent="0.25">
      <c r="B62">
        <f>B61+L/100</f>
        <v>8.1600000000000037</v>
      </c>
      <c r="C62">
        <f t="shared" si="11"/>
        <v>0.76948921101071033</v>
      </c>
      <c r="D62">
        <f t="shared" si="12"/>
        <v>-0.24666281131820458</v>
      </c>
      <c r="E62">
        <f t="shared" si="13"/>
        <v>4.4124285703479579E-2</v>
      </c>
      <c r="F62">
        <f t="shared" si="14"/>
        <v>1.4227448940998082E-4</v>
      </c>
      <c r="G62">
        <f t="shared" si="15"/>
        <v>-1.2904689863842663E-3</v>
      </c>
      <c r="H62">
        <f t="shared" si="9"/>
        <v>0.71059995999999914</v>
      </c>
      <c r="I62">
        <f t="shared" si="10"/>
        <v>-5.8889251010711186E-2</v>
      </c>
      <c r="J62">
        <f t="shared" si="7"/>
        <v>0.16466208841622937</v>
      </c>
      <c r="K62">
        <f t="shared" si="8"/>
        <v>8.7940760449658075</v>
      </c>
    </row>
    <row r="63" spans="2:12" x14ac:dyDescent="0.25">
      <c r="B63">
        <f>B62+L/100</f>
        <v>8.3200000000000038</v>
      </c>
      <c r="C63">
        <f t="shared" si="11"/>
        <v>0.7305880139444465</v>
      </c>
      <c r="D63">
        <f t="shared" si="12"/>
        <v>-0.23960198545234479</v>
      </c>
      <c r="E63">
        <f t="shared" si="13"/>
        <v>4.4130531618759454E-2</v>
      </c>
      <c r="F63">
        <f t="shared" si="14"/>
        <v>-6.4200548411502342E-5</v>
      </c>
      <c r="G63">
        <f t="shared" si="15"/>
        <v>-1.2904689863842663E-3</v>
      </c>
      <c r="H63">
        <f t="shared" si="9"/>
        <v>0.67239935999999911</v>
      </c>
      <c r="I63">
        <f t="shared" si="10"/>
        <v>-5.8188653944447388E-2</v>
      </c>
      <c r="J63">
        <f t="shared" si="7"/>
        <v>0.16439888861741839</v>
      </c>
      <c r="K63">
        <f t="shared" si="8"/>
        <v>8.9587381333820364</v>
      </c>
    </row>
    <row r="64" spans="2:12" x14ac:dyDescent="0.25">
      <c r="B64">
        <f>B63+L/100</f>
        <v>8.480000000000004</v>
      </c>
      <c r="C64">
        <f t="shared" si="11"/>
        <v>0.69281648801081097</v>
      </c>
      <c r="D64">
        <f t="shared" si="12"/>
        <v>-0.23254280312052428</v>
      </c>
      <c r="E64">
        <f t="shared" si="13"/>
        <v>4.4103741527987898E-2</v>
      </c>
      <c r="F64">
        <f t="shared" si="14"/>
        <v>-2.706755862329855E-4</v>
      </c>
      <c r="G64">
        <f t="shared" si="15"/>
        <v>-1.2904689863842663E-3</v>
      </c>
      <c r="H64">
        <f t="shared" si="9"/>
        <v>0.63539675999999912</v>
      </c>
      <c r="I64">
        <f t="shared" si="10"/>
        <v>-5.7419728010811855E-2</v>
      </c>
      <c r="J64">
        <f t="shared" si="7"/>
        <v>0.1641431922866832</v>
      </c>
      <c r="K64">
        <f t="shared" si="8"/>
        <v>9.1231370219994545</v>
      </c>
    </row>
    <row r="65" spans="2:11" x14ac:dyDescent="0.25">
      <c r="B65">
        <f>B64+L/100</f>
        <v>8.6400000000000041</v>
      </c>
      <c r="C65">
        <f t="shared" si="11"/>
        <v>0.65617394738347867</v>
      </c>
      <c r="D65">
        <f t="shared" si="12"/>
        <v>-0.22549055008371138</v>
      </c>
      <c r="E65">
        <f t="shared" si="13"/>
        <v>4.4043915431164891E-2</v>
      </c>
      <c r="F65">
        <f t="shared" si="14"/>
        <v>-4.7715062405446866E-4</v>
      </c>
      <c r="G65">
        <f t="shared" si="15"/>
        <v>-1.2904689863842663E-3</v>
      </c>
      <c r="H65">
        <f t="shared" si="9"/>
        <v>0.59958975999999908</v>
      </c>
      <c r="I65">
        <f t="shared" si="10"/>
        <v>-5.6584187383479589E-2</v>
      </c>
      <c r="J65">
        <f t="shared" si="7"/>
        <v>0.1638952036209067</v>
      </c>
      <c r="K65">
        <f t="shared" si="8"/>
        <v>9.2872802142861381</v>
      </c>
    </row>
    <row r="66" spans="2:11" x14ac:dyDescent="0.25">
      <c r="B66">
        <f>B65+L/100</f>
        <v>8.8000000000000043</v>
      </c>
      <c r="C66">
        <f t="shared" si="11"/>
        <v>0.62065886051437102</v>
      </c>
      <c r="D66">
        <f t="shared" si="12"/>
        <v>-0.21845051210287425</v>
      </c>
      <c r="E66">
        <f t="shared" si="13"/>
        <v>4.3951053328290468E-2</v>
      </c>
      <c r="F66">
        <f t="shared" si="14"/>
        <v>-6.8362566187595182E-4</v>
      </c>
      <c r="G66">
        <f t="shared" si="15"/>
        <v>-1.2904689863842663E-3</v>
      </c>
      <c r="H66">
        <f t="shared" si="9"/>
        <v>0.56497499999999912</v>
      </c>
      <c r="I66">
        <f t="shared" si="10"/>
        <v>-5.5683860514371908E-2</v>
      </c>
      <c r="J66">
        <f t="shared" si="7"/>
        <v>0.16365510371633007</v>
      </c>
      <c r="K66">
        <f t="shared" si="8"/>
        <v>9.4511754179070451</v>
      </c>
    </row>
    <row r="67" spans="2:11" x14ac:dyDescent="0.25">
      <c r="B67">
        <f>B66+L/100</f>
        <v>8.9600000000000044</v>
      </c>
      <c r="C67">
        <f t="shared" si="11"/>
        <v>0.58626885013365504</v>
      </c>
      <c r="D67">
        <f t="shared" si="12"/>
        <v>-0.21142797493898113</v>
      </c>
      <c r="E67">
        <f t="shared" si="13"/>
        <v>4.3825155219364587E-2</v>
      </c>
      <c r="F67">
        <f t="shared" si="14"/>
        <v>-8.9010069969743325E-4</v>
      </c>
      <c r="G67">
        <f t="shared" si="15"/>
        <v>-1.2904689863842663E-3</v>
      </c>
      <c r="H67">
        <f t="shared" si="9"/>
        <v>0.53154815999999905</v>
      </c>
      <c r="I67">
        <f t="shared" si="10"/>
        <v>-5.4720690133655991E-2</v>
      </c>
      <c r="J67">
        <f t="shared" si="7"/>
        <v>0.1634230504082303</v>
      </c>
      <c r="K67">
        <f t="shared" si="8"/>
        <v>9.6148305216233751</v>
      </c>
    </row>
    <row r="68" spans="2:11" x14ac:dyDescent="0.25">
      <c r="B68">
        <f>B67+L/100</f>
        <v>9.1200000000000045</v>
      </c>
      <c r="C68">
        <f t="shared" si="11"/>
        <v>0.5530006932497411</v>
      </c>
      <c r="D68">
        <f t="shared" si="12"/>
        <v>-0.20442822435300034</v>
      </c>
      <c r="E68">
        <f t="shared" si="13"/>
        <v>4.3666221104387289E-2</v>
      </c>
      <c r="F68">
        <f t="shared" si="14"/>
        <v>-1.0965757375189164E-3</v>
      </c>
      <c r="G68">
        <f t="shared" si="15"/>
        <v>-1.2904689863842663E-3</v>
      </c>
      <c r="H68">
        <f t="shared" si="9"/>
        <v>0.4993039599999991</v>
      </c>
      <c r="I68">
        <f t="shared" si="10"/>
        <v>-5.3696733249742001E-2</v>
      </c>
      <c r="J68">
        <f t="shared" si="7"/>
        <v>0.16319917816805674</v>
      </c>
      <c r="K68">
        <f t="shared" si="8"/>
        <v>9.7782535720316055</v>
      </c>
    </row>
    <row r="69" spans="2:11" x14ac:dyDescent="0.25">
      <c r="B69">
        <f>B68+L/100</f>
        <v>9.2800000000000047</v>
      </c>
      <c r="C69">
        <f t="shared" si="11"/>
        <v>0.52085032114928831</v>
      </c>
      <c r="D69">
        <f t="shared" si="12"/>
        <v>-0.19745654610589991</v>
      </c>
      <c r="E69">
        <f t="shared" si="13"/>
        <v>4.3474250983358532E-2</v>
      </c>
      <c r="F69">
        <f t="shared" si="14"/>
        <v>-1.3030507753403996E-3</v>
      </c>
      <c r="G69">
        <f t="shared" si="15"/>
        <v>-1.2904689863842663E-3</v>
      </c>
      <c r="H69">
        <f t="shared" si="9"/>
        <v>0.46823615999999912</v>
      </c>
      <c r="I69">
        <f t="shared" si="10"/>
        <v>-5.2614161149289185E-2</v>
      </c>
      <c r="J69">
        <f t="shared" si="7"/>
        <v>0.16298359805951398</v>
      </c>
      <c r="K69">
        <f t="shared" si="8"/>
        <v>9.9414527501996623</v>
      </c>
    </row>
    <row r="70" spans="2:11" x14ac:dyDescent="0.25">
      <c r="B70">
        <f>B69+L/100</f>
        <v>9.4400000000000048</v>
      </c>
      <c r="C70">
        <f t="shared" si="11"/>
        <v>0.48981281939719512</v>
      </c>
      <c r="D70">
        <f t="shared" si="12"/>
        <v>-0.19051822595864831</v>
      </c>
      <c r="E70">
        <f t="shared" si="13"/>
        <v>4.3249244856278367E-2</v>
      </c>
      <c r="F70">
        <f t="shared" si="14"/>
        <v>-1.5095258131618827E-3</v>
      </c>
      <c r="G70">
        <f t="shared" si="15"/>
        <v>-1.2904689863842663E-3</v>
      </c>
      <c r="H70">
        <f t="shared" si="9"/>
        <v>0.43833755999999907</v>
      </c>
      <c r="I70">
        <f t="shared" si="10"/>
        <v>-5.1475259397196049E-2</v>
      </c>
      <c r="J70">
        <f t="shared" si="7"/>
        <v>0.16277639775489927</v>
      </c>
      <c r="K70">
        <f t="shared" si="8"/>
        <v>10.104436348259176</v>
      </c>
    </row>
    <row r="71" spans="2:11" x14ac:dyDescent="0.25">
      <c r="B71">
        <f>B70+L/100</f>
        <v>9.600000000000005</v>
      </c>
      <c r="C71">
        <f t="shared" si="11"/>
        <v>0.45988242783661004</v>
      </c>
      <c r="D71">
        <f t="shared" si="12"/>
        <v>-0.18361854967221358</v>
      </c>
      <c r="E71">
        <f t="shared" si="13"/>
        <v>4.2991202723146743E-2</v>
      </c>
      <c r="F71">
        <f t="shared" si="14"/>
        <v>-1.7160008509833641E-3</v>
      </c>
      <c r="G71">
        <f t="shared" si="15"/>
        <v>-1.2904689863842663E-3</v>
      </c>
      <c r="H71">
        <f t="shared" si="9"/>
        <v>0.40959999999999913</v>
      </c>
      <c r="I71">
        <f t="shared" si="10"/>
        <v>-5.028242783661091E-2</v>
      </c>
      <c r="J71">
        <f t="shared" si="7"/>
        <v>0.16257764161281671</v>
      </c>
      <c r="K71">
        <f t="shared" si="8"/>
        <v>10.267212746014074</v>
      </c>
    </row>
    <row r="72" spans="2:11" x14ac:dyDescent="0.25">
      <c r="B72">
        <f>B71+L/100</f>
        <v>9.7600000000000051</v>
      </c>
      <c r="C72">
        <f t="shared" si="11"/>
        <v>0.43105254058892495</v>
      </c>
      <c r="D72">
        <f t="shared" si="12"/>
        <v>-0.17676280300756408</v>
      </c>
      <c r="E72">
        <f t="shared" si="13"/>
        <v>4.2700124583963689E-2</v>
      </c>
      <c r="F72">
        <f t="shared" si="14"/>
        <v>-1.9224758888048473E-3</v>
      </c>
      <c r="G72">
        <f t="shared" si="15"/>
        <v>-1.2904689863842663E-3</v>
      </c>
      <c r="H72">
        <f t="shared" si="9"/>
        <v>0.38201435999999916</v>
      </c>
      <c r="I72">
        <f t="shared" si="10"/>
        <v>-4.9038180588925784E-2</v>
      </c>
      <c r="J72">
        <f t="shared" si="7"/>
        <v>0.16238737081819629</v>
      </c>
      <c r="K72">
        <f t="shared" si="8"/>
        <v>10.429790387626891</v>
      </c>
    </row>
    <row r="73" spans="2:11" x14ac:dyDescent="0.25">
      <c r="B73">
        <f>B72+L/100</f>
        <v>9.9200000000000053</v>
      </c>
      <c r="C73">
        <f t="shared" si="11"/>
        <v>0.40331570605377554</v>
      </c>
      <c r="D73">
        <f t="shared" si="12"/>
        <v>-0.16995627172566796</v>
      </c>
      <c r="E73">
        <f t="shared" si="13"/>
        <v>4.2376010438729184E-2</v>
      </c>
      <c r="F73">
        <f t="shared" si="14"/>
        <v>-2.1289509266263305E-3</v>
      </c>
      <c r="G73">
        <f t="shared" si="15"/>
        <v>-1.2904689863842663E-3</v>
      </c>
      <c r="H73">
        <f t="shared" si="9"/>
        <v>0.35557055999999915</v>
      </c>
      <c r="I73">
        <f t="shared" si="10"/>
        <v>-4.7745146053776388E-2</v>
      </c>
      <c r="J73">
        <f t="shared" si="7"/>
        <v>0.1622056035853448</v>
      </c>
      <c r="K73">
        <f t="shared" si="8"/>
        <v>10.592177758445088</v>
      </c>
    </row>
    <row r="74" spans="2:11" x14ac:dyDescent="0.25">
      <c r="B74">
        <f>B73+L/100</f>
        <v>10.080000000000005</v>
      </c>
      <c r="C74">
        <f t="shared" si="11"/>
        <v>0.3766636269090462</v>
      </c>
      <c r="D74">
        <f t="shared" si="12"/>
        <v>-0.16320424158749353</v>
      </c>
      <c r="E74">
        <f t="shared" si="13"/>
        <v>4.2018860287443255E-2</v>
      </c>
      <c r="F74">
        <f t="shared" si="14"/>
        <v>-2.3354259644478136E-3</v>
      </c>
      <c r="G74">
        <f t="shared" si="15"/>
        <v>-1.2904689863842663E-3</v>
      </c>
      <c r="H74">
        <f t="shared" si="9"/>
        <v>0.33025755999999912</v>
      </c>
      <c r="I74">
        <f t="shared" si="10"/>
        <v>-4.6406066909047083E-2</v>
      </c>
      <c r="J74">
        <f t="shared" si="7"/>
        <v>0.16203233542455267</v>
      </c>
      <c r="K74">
        <f t="shared" si="8"/>
        <v>10.754383362030433</v>
      </c>
    </row>
    <row r="75" spans="2:11" x14ac:dyDescent="0.25">
      <c r="B75">
        <f>B74+L/100</f>
        <v>10.240000000000006</v>
      </c>
      <c r="C75">
        <f t="shared" ref="C75:C112" si="16">A*x^4+B*x^3+C_*x^2+D*x+E</f>
        <v>0.35108716011086161</v>
      </c>
      <c r="D75">
        <f t="shared" ref="D75:D112" si="17">4*A*x^3+3*B*x^2+2*C_*x+D</f>
        <v>-0.15651199835400886</v>
      </c>
      <c r="E75">
        <f t="shared" ref="E75:E111" si="18">12*A*x^2+6*B*x+2*C_</f>
        <v>4.1628674130105889E-2</v>
      </c>
      <c r="F75">
        <f t="shared" ref="F75:F111" si="19">24*A*x+6*B</f>
        <v>-2.5419010022692968E-3</v>
      </c>
      <c r="G75">
        <f t="shared" ref="G75:G111" si="20">24*A</f>
        <v>-1.2904689863842663E-3</v>
      </c>
      <c r="H75">
        <f t="shared" si="9"/>
        <v>0.30606335999999917</v>
      </c>
      <c r="I75">
        <f t="shared" si="10"/>
        <v>-4.5023800110862433E-2</v>
      </c>
      <c r="J75">
        <f t="shared" si="7"/>
        <v>0.16186753947257779</v>
      </c>
      <c r="K75">
        <f t="shared" si="8"/>
        <v>10.916415697454985</v>
      </c>
    </row>
    <row r="76" spans="2:11" x14ac:dyDescent="0.25">
      <c r="B76">
        <f>B75+L/100</f>
        <v>10.400000000000006</v>
      </c>
      <c r="C76">
        <f t="shared" si="16"/>
        <v>0.32657631689359423</v>
      </c>
      <c r="D76">
        <f t="shared" si="17"/>
        <v>-0.14988482778618228</v>
      </c>
      <c r="E76">
        <f t="shared" si="18"/>
        <v>4.1205451966717072E-2</v>
      </c>
      <c r="F76">
        <f t="shared" si="19"/>
        <v>-2.7483760400907782E-3</v>
      </c>
      <c r="G76">
        <f t="shared" si="20"/>
        <v>-1.2904689863842663E-3</v>
      </c>
      <c r="H76">
        <f t="shared" si="9"/>
        <v>0.2829749999999992</v>
      </c>
      <c r="I76">
        <f t="shared" si="10"/>
        <v>-4.3601316893595032E-2</v>
      </c>
      <c r="J76">
        <f t="shared" ref="J76:J112" si="21">(B77-B76)*(SQRT(1+(D77^2))+SQRT(1+(D76^2)))/2</f>
        <v>0.16171116688712317</v>
      </c>
      <c r="K76">
        <f t="shared" si="8"/>
        <v>11.078283236927563</v>
      </c>
    </row>
    <row r="77" spans="2:11" x14ac:dyDescent="0.25">
      <c r="B77">
        <f>B76+L/100</f>
        <v>10.560000000000006</v>
      </c>
      <c r="C77">
        <f t="shared" si="16"/>
        <v>0.30312026276986259</v>
      </c>
      <c r="D77">
        <f t="shared" si="17"/>
        <v>-0.1433280156449821</v>
      </c>
      <c r="E77">
        <f t="shared" si="18"/>
        <v>4.0749193797276831E-2</v>
      </c>
      <c r="F77">
        <f t="shared" si="19"/>
        <v>-2.9548510779122614E-3</v>
      </c>
      <c r="G77">
        <f t="shared" si="20"/>
        <v>-1.2904689863842663E-3</v>
      </c>
      <c r="H77">
        <f t="shared" si="9"/>
        <v>0.26097855999999919</v>
      </c>
      <c r="I77">
        <f t="shared" si="10"/>
        <v>-4.2141702769863398E-2</v>
      </c>
      <c r="J77">
        <f t="shared" si="21"/>
        <v>0.16156314730522731</v>
      </c>
      <c r="K77">
        <f t="shared" ref="K77:K111" si="22">K76+J76</f>
        <v>11.239994403814686</v>
      </c>
    </row>
    <row r="78" spans="2:11" x14ac:dyDescent="0.25">
      <c r="B78">
        <f>B77+L/100</f>
        <v>10.720000000000006</v>
      </c>
      <c r="C78">
        <f t="shared" si="16"/>
        <v>0.28070731753052947</v>
      </c>
      <c r="D78">
        <f t="shared" si="17"/>
        <v>-0.13684684769137639</v>
      </c>
      <c r="E78">
        <f t="shared" si="18"/>
        <v>4.0259899621785153E-2</v>
      </c>
      <c r="F78">
        <f t="shared" si="19"/>
        <v>-3.1613261157337445E-3</v>
      </c>
      <c r="G78">
        <f t="shared" si="20"/>
        <v>-1.2904689863842663E-3</v>
      </c>
      <c r="H78">
        <f t="shared" si="9"/>
        <v>0.24005915999999924</v>
      </c>
      <c r="I78">
        <f t="shared" si="10"/>
        <v>-4.0648157530530221E-2</v>
      </c>
      <c r="J78">
        <f t="shared" si="21"/>
        <v>0.16142338936529174</v>
      </c>
      <c r="K78">
        <f t="shared" si="22"/>
        <v>11.401557551119913</v>
      </c>
    </row>
    <row r="79" spans="2:11" x14ac:dyDescent="0.25">
      <c r="B79">
        <f>B78+L/100</f>
        <v>10.880000000000006</v>
      </c>
      <c r="C79">
        <f t="shared" si="16"/>
        <v>0.25932495524469967</v>
      </c>
      <c r="D79">
        <f t="shared" si="17"/>
        <v>-0.13044660968633365</v>
      </c>
      <c r="E79">
        <f t="shared" si="18"/>
        <v>3.9737569440242024E-2</v>
      </c>
      <c r="F79">
        <f t="shared" si="19"/>
        <v>-3.3678011535552277E-3</v>
      </c>
      <c r="G79">
        <f t="shared" si="20"/>
        <v>-1.2904689863842663E-3</v>
      </c>
      <c r="H79">
        <f t="shared" si="9"/>
        <v>0.22020095999999925</v>
      </c>
      <c r="I79">
        <f t="shared" si="10"/>
        <v>-3.9123995244700421E-2</v>
      </c>
      <c r="J79">
        <f t="shared" si="21"/>
        <v>0.16129178129228733</v>
      </c>
      <c r="K79">
        <f t="shared" si="22"/>
        <v>11.562980940485204</v>
      </c>
    </row>
    <row r="80" spans="2:11" x14ac:dyDescent="0.25">
      <c r="B80">
        <f>B79+L/100</f>
        <v>11.040000000000006</v>
      </c>
      <c r="C80">
        <f t="shared" si="16"/>
        <v>0.23895980425972674</v>
      </c>
      <c r="D80">
        <f t="shared" si="17"/>
        <v>-0.12413258739082178</v>
      </c>
      <c r="E80">
        <f t="shared" si="18"/>
        <v>3.9182203252647485E-2</v>
      </c>
      <c r="F80">
        <f t="shared" si="19"/>
        <v>-3.5742761913767108E-3</v>
      </c>
      <c r="G80">
        <f t="shared" si="20"/>
        <v>-1.2904689863842663E-3</v>
      </c>
      <c r="H80">
        <f t="shared" si="9"/>
        <v>0.20138715999999929</v>
      </c>
      <c r="I80">
        <f t="shared" si="10"/>
        <v>-3.757264425972745E-2</v>
      </c>
      <c r="J80">
        <f t="shared" si="21"/>
        <v>0.16116819154550308</v>
      </c>
      <c r="K80">
        <f t="shared" si="22"/>
        <v>11.724272721777492</v>
      </c>
    </row>
    <row r="81" spans="2:11" x14ac:dyDescent="0.25">
      <c r="B81">
        <f>B80+L/100</f>
        <v>11.200000000000006</v>
      </c>
      <c r="C81">
        <f t="shared" si="16"/>
        <v>0.21959764720120933</v>
      </c>
      <c r="D81">
        <f t="shared" si="17"/>
        <v>-0.1179100665658091</v>
      </c>
      <c r="E81">
        <f t="shared" si="18"/>
        <v>3.8593801059001495E-2</v>
      </c>
      <c r="F81">
        <f t="shared" si="19"/>
        <v>-3.7807512291981923E-3</v>
      </c>
      <c r="G81">
        <f t="shared" si="20"/>
        <v>-1.2904689863842663E-3</v>
      </c>
      <c r="H81">
        <f t="shared" si="9"/>
        <v>0.18359999999999932</v>
      </c>
      <c r="I81">
        <f t="shared" si="10"/>
        <v>-3.5997647201210015E-2</v>
      </c>
      <c r="J81">
        <f t="shared" si="21"/>
        <v>0.16105246952804145</v>
      </c>
      <c r="K81">
        <f t="shared" si="22"/>
        <v>11.885440913322995</v>
      </c>
    </row>
    <row r="82" spans="2:11" x14ac:dyDescent="0.25">
      <c r="B82">
        <f>B81+L/100</f>
        <v>11.360000000000007</v>
      </c>
      <c r="C82">
        <f t="shared" si="16"/>
        <v>0.20122342097298951</v>
      </c>
      <c r="D82">
        <f t="shared" si="17"/>
        <v>-0.11178433297226403</v>
      </c>
      <c r="E82">
        <f t="shared" si="18"/>
        <v>3.7972362859304068E-2</v>
      </c>
      <c r="F82">
        <f t="shared" si="19"/>
        <v>-3.9872262670196754E-3</v>
      </c>
      <c r="G82">
        <f t="shared" si="20"/>
        <v>-1.2904689863842663E-3</v>
      </c>
      <c r="H82">
        <f t="shared" si="9"/>
        <v>0.16682075999999935</v>
      </c>
      <c r="I82">
        <f t="shared" si="10"/>
        <v>-3.4402660972990162E-2</v>
      </c>
      <c r="J82">
        <f t="shared" si="21"/>
        <v>0.16094444635711333</v>
      </c>
      <c r="K82">
        <f t="shared" si="22"/>
        <v>12.046493382851036</v>
      </c>
    </row>
    <row r="83" spans="2:11" x14ac:dyDescent="0.25">
      <c r="B83">
        <f>B82+L/100</f>
        <v>11.520000000000007</v>
      </c>
      <c r="C83">
        <f t="shared" si="16"/>
        <v>0.18382121675715579</v>
      </c>
      <c r="D83">
        <f t="shared" si="17"/>
        <v>-0.10576067237115461</v>
      </c>
      <c r="E83">
        <f t="shared" si="18"/>
        <v>3.731788865355519E-2</v>
      </c>
      <c r="F83">
        <f t="shared" si="19"/>
        <v>-4.1937013048411586E-3</v>
      </c>
      <c r="G83">
        <f t="shared" si="20"/>
        <v>-1.2904689863842663E-3</v>
      </c>
      <c r="H83">
        <f t="shared" si="9"/>
        <v>0.15102975999999937</v>
      </c>
      <c r="I83">
        <f t="shared" si="10"/>
        <v>-3.2791456757156418E-2</v>
      </c>
      <c r="J83">
        <f t="shared" si="21"/>
        <v>0.16084393569405378</v>
      </c>
      <c r="K83">
        <f t="shared" si="22"/>
        <v>12.20743782920815</v>
      </c>
    </row>
    <row r="84" spans="2:11" x14ac:dyDescent="0.25">
      <c r="B84">
        <f>B83+L/100</f>
        <v>11.680000000000007</v>
      </c>
      <c r="C84">
        <f t="shared" si="16"/>
        <v>0.16737428001403876</v>
      </c>
      <c r="D84">
        <f t="shared" si="17"/>
        <v>-9.9844370523449077E-2</v>
      </c>
      <c r="E84">
        <f t="shared" si="18"/>
        <v>3.6630378441754888E-2</v>
      </c>
      <c r="F84">
        <f t="shared" si="19"/>
        <v>-4.4001763426626418E-3</v>
      </c>
      <c r="G84">
        <f t="shared" si="20"/>
        <v>-1.2904689863842663E-3</v>
      </c>
      <c r="H84">
        <f t="shared" si="9"/>
        <v>0.13620635999999939</v>
      </c>
      <c r="I84">
        <f t="shared" si="10"/>
        <v>-3.1167920014039369E-2</v>
      </c>
      <c r="J84">
        <f t="shared" si="21"/>
        <v>0.16075073463286324</v>
      </c>
      <c r="K84">
        <f t="shared" si="22"/>
        <v>12.368281764902203</v>
      </c>
    </row>
    <row r="85" spans="2:11" x14ac:dyDescent="0.25">
      <c r="B85">
        <f>B84+L/100</f>
        <v>11.840000000000007</v>
      </c>
      <c r="C85">
        <f t="shared" si="16"/>
        <v>0.15186501048221812</v>
      </c>
      <c r="D85">
        <f t="shared" si="17"/>
        <v>-9.4040713190115699E-2</v>
      </c>
      <c r="E85">
        <f t="shared" si="18"/>
        <v>3.5909832223903149E-2</v>
      </c>
      <c r="F85">
        <f t="shared" si="19"/>
        <v>-4.6066513804841249E-3</v>
      </c>
      <c r="G85">
        <f t="shared" si="20"/>
        <v>-1.2904689863842663E-3</v>
      </c>
      <c r="H85">
        <f t="shared" si="9"/>
        <v>0.12232895999999942</v>
      </c>
      <c r="I85">
        <f t="shared" si="10"/>
        <v>-2.9536050482218704E-2</v>
      </c>
      <c r="J85">
        <f t="shared" si="21"/>
        <v>0.16066462464598005</v>
      </c>
      <c r="K85">
        <f t="shared" si="22"/>
        <v>12.529032499535067</v>
      </c>
    </row>
    <row r="86" spans="2:11" x14ac:dyDescent="0.25">
      <c r="B86">
        <f>B85+L/100</f>
        <v>12.000000000000007</v>
      </c>
      <c r="C86">
        <f t="shared" si="16"/>
        <v>0.13727496217851698</v>
      </c>
      <c r="D86">
        <f t="shared" si="17"/>
        <v>-8.8354986132122837E-2</v>
      </c>
      <c r="E86">
        <f t="shared" si="18"/>
        <v>3.5156249999999972E-2</v>
      </c>
      <c r="F86">
        <f t="shared" si="19"/>
        <v>-4.8131264183056063E-3</v>
      </c>
      <c r="G86">
        <f t="shared" si="20"/>
        <v>-1.2904689863842663E-3</v>
      </c>
      <c r="H86">
        <f t="shared" si="9"/>
        <v>0.10937499999999944</v>
      </c>
      <c r="I86">
        <f t="shared" si="10"/>
        <v>-2.7899962178517534E-2</v>
      </c>
      <c r="J86">
        <f t="shared" si="21"/>
        <v>0.16058537258591257</v>
      </c>
      <c r="K86">
        <f t="shared" si="22"/>
        <v>12.689697124181047</v>
      </c>
    </row>
    <row r="87" spans="2:11" x14ac:dyDescent="0.25">
      <c r="B87">
        <f>B86+L/100</f>
        <v>12.160000000000007</v>
      </c>
      <c r="C87">
        <f t="shared" si="16"/>
        <v>0.12358484339800224</v>
      </c>
      <c r="D87">
        <f t="shared" si="17"/>
        <v>-8.2792475110438524E-2</v>
      </c>
      <c r="E87">
        <f t="shared" si="18"/>
        <v>3.4369631770045359E-2</v>
      </c>
      <c r="F87">
        <f t="shared" si="19"/>
        <v>-5.0196014561270912E-3</v>
      </c>
      <c r="G87">
        <f t="shared" si="20"/>
        <v>-1.2904689863842663E-3</v>
      </c>
      <c r="H87">
        <f t="shared" si="9"/>
        <v>9.7320959999999471E-2</v>
      </c>
      <c r="I87">
        <f t="shared" si="10"/>
        <v>-2.6263883398002771E-2</v>
      </c>
      <c r="J87">
        <f t="shared" si="21"/>
        <v>0.16051273174129763</v>
      </c>
      <c r="K87">
        <f t="shared" si="22"/>
        <v>12.85028249676696</v>
      </c>
    </row>
    <row r="88" spans="2:11" x14ac:dyDescent="0.25">
      <c r="B88">
        <f>B87+L/100</f>
        <v>12.320000000000007</v>
      </c>
      <c r="C88">
        <f t="shared" si="16"/>
        <v>0.11077451671398864</v>
      </c>
      <c r="D88">
        <f t="shared" si="17"/>
        <v>-7.7358465886030958E-2</v>
      </c>
      <c r="E88">
        <f t="shared" si="18"/>
        <v>3.354997753403928E-2</v>
      </c>
      <c r="F88">
        <f t="shared" si="19"/>
        <v>-5.2260764939485709E-3</v>
      </c>
      <c r="G88">
        <f t="shared" si="20"/>
        <v>-1.2904689863842663E-3</v>
      </c>
      <c r="H88">
        <f t="shared" si="9"/>
        <v>8.6142359999999502E-2</v>
      </c>
      <c r="I88">
        <f t="shared" si="10"/>
        <v>-2.4632156713989134E-2</v>
      </c>
      <c r="J88">
        <f t="shared" si="21"/>
        <v>0.16044644294591554</v>
      </c>
      <c r="K88">
        <f t="shared" si="22"/>
        <v>13.010795228508258</v>
      </c>
    </row>
    <row r="89" spans="2:11" x14ac:dyDescent="0.25">
      <c r="B89">
        <f>B88+L/100</f>
        <v>12.480000000000008</v>
      </c>
      <c r="C89">
        <f t="shared" si="16"/>
        <v>9.8822998978032928E-2</v>
      </c>
      <c r="D89">
        <f t="shared" si="17"/>
        <v>-7.2058244219868672E-2</v>
      </c>
      <c r="E89">
        <f t="shared" si="18"/>
        <v>3.2697287291981805E-2</v>
      </c>
      <c r="F89">
        <f t="shared" si="19"/>
        <v>-5.4325515317700541E-3</v>
      </c>
      <c r="G89">
        <f t="shared" si="20"/>
        <v>-1.2904689863842663E-3</v>
      </c>
      <c r="H89">
        <f t="shared" si="9"/>
        <v>7.5813759999999536E-2</v>
      </c>
      <c r="I89">
        <f t="shared" si="10"/>
        <v>-2.3009238978033392E-2</v>
      </c>
      <c r="J89">
        <f t="shared" si="21"/>
        <v>0.16038623573917021</v>
      </c>
      <c r="K89">
        <f t="shared" si="22"/>
        <v>13.171241671454172</v>
      </c>
    </row>
    <row r="90" spans="2:11" x14ac:dyDescent="0.25">
      <c r="B90">
        <f>B89+L/100</f>
        <v>12.640000000000008</v>
      </c>
      <c r="C90">
        <f t="shared" si="16"/>
        <v>8.7708461319938813E-2</v>
      </c>
      <c r="D90">
        <f t="shared" si="17"/>
        <v>-6.6897095872919532E-2</v>
      </c>
      <c r="E90">
        <f t="shared" si="18"/>
        <v>3.1811561043872866E-2</v>
      </c>
      <c r="F90">
        <f t="shared" si="19"/>
        <v>-5.6390265695915372E-3</v>
      </c>
      <c r="G90">
        <f t="shared" si="20"/>
        <v>-1.2904689863842663E-3</v>
      </c>
      <c r="H90">
        <f t="shared" si="9"/>
        <v>6.6308759999999564E-2</v>
      </c>
      <c r="I90">
        <f t="shared" si="10"/>
        <v>-2.1399701319939249E-2</v>
      </c>
      <c r="J90">
        <f t="shared" si="21"/>
        <v>0.16033182957654632</v>
      </c>
      <c r="K90">
        <f t="shared" si="22"/>
        <v>13.331627907193342</v>
      </c>
    </row>
    <row r="91" spans="2:11" x14ac:dyDescent="0.25">
      <c r="B91">
        <f>B90+L/100</f>
        <v>12.800000000000008</v>
      </c>
      <c r="C91">
        <f t="shared" si="16"/>
        <v>7.7408229147755137E-2</v>
      </c>
      <c r="D91">
        <f t="shared" si="17"/>
        <v>-6.1880306606152069E-2</v>
      </c>
      <c r="E91">
        <f t="shared" si="18"/>
        <v>3.0892798789712503E-2</v>
      </c>
      <c r="F91">
        <f t="shared" si="19"/>
        <v>-5.8455016074130204E-3</v>
      </c>
      <c r="G91">
        <f t="shared" si="20"/>
        <v>-1.2904689863842663E-3</v>
      </c>
      <c r="H91">
        <f t="shared" si="9"/>
        <v>5.7599999999999589E-2</v>
      </c>
      <c r="I91">
        <f t="shared" si="10"/>
        <v>-1.9808229147755547E-2</v>
      </c>
      <c r="J91">
        <f t="shared" si="21"/>
        <v>0.16028293508857508</v>
      </c>
      <c r="K91">
        <f t="shared" si="22"/>
        <v>13.491959736769887</v>
      </c>
    </row>
    <row r="92" spans="2:11" x14ac:dyDescent="0.25">
      <c r="B92">
        <f>B91+L/100</f>
        <v>12.960000000000008</v>
      </c>
      <c r="C92">
        <f t="shared" si="16"/>
        <v>6.7898782147775005E-2</v>
      </c>
      <c r="D92">
        <f t="shared" si="17"/>
        <v>-5.7013162180534316E-2</v>
      </c>
      <c r="E92">
        <f t="shared" si="18"/>
        <v>2.9941000529500703E-2</v>
      </c>
      <c r="F92">
        <f t="shared" si="19"/>
        <v>-6.0519766452345036E-3</v>
      </c>
      <c r="G92">
        <f t="shared" si="20"/>
        <v>-1.2904689863842663E-3</v>
      </c>
      <c r="H92">
        <f t="shared" si="9"/>
        <v>4.9659159999999626E-2</v>
      </c>
      <c r="I92">
        <f t="shared" si="10"/>
        <v>-1.8239622147775379E-2</v>
      </c>
      <c r="J92">
        <f t="shared" si="21"/>
        <v>0.16023925538688172</v>
      </c>
      <c r="K92">
        <f t="shared" si="22"/>
        <v>13.652242671858463</v>
      </c>
    </row>
    <row r="93" spans="2:11" x14ac:dyDescent="0.25">
      <c r="B93">
        <f>B92+L/100</f>
        <v>13.120000000000008</v>
      </c>
      <c r="C93">
        <f t="shared" si="16"/>
        <v>5.9155754284538453E-2</v>
      </c>
      <c r="D93">
        <f t="shared" si="17"/>
        <v>-5.2300948357034582E-2</v>
      </c>
      <c r="E93">
        <f t="shared" si="18"/>
        <v>2.8956166263237465E-2</v>
      </c>
      <c r="F93">
        <f t="shared" si="19"/>
        <v>-6.2584516830559867E-3</v>
      </c>
      <c r="G93">
        <f t="shared" si="20"/>
        <v>-1.2904689863842663E-3</v>
      </c>
      <c r="H93">
        <f t="shared" ref="H93:H111" si="23">-h/L^4*(x-L)^3*(x+L)</f>
        <v>4.2456959999999655E-2</v>
      </c>
      <c r="I93">
        <f t="shared" si="10"/>
        <v>-1.6698794284538798E-2</v>
      </c>
      <c r="J93">
        <f t="shared" si="21"/>
        <v>0.16020048741594459</v>
      </c>
      <c r="K93">
        <f t="shared" si="22"/>
        <v>13.812481927245345</v>
      </c>
    </row>
    <row r="94" spans="2:11" x14ac:dyDescent="0.25">
      <c r="B94">
        <f>B93+L/100</f>
        <v>13.280000000000008</v>
      </c>
      <c r="C94">
        <f t="shared" si="16"/>
        <v>5.1153933800826223E-2</v>
      </c>
      <c r="D94">
        <f t="shared" si="17"/>
        <v>-4.7748950896621123E-2</v>
      </c>
      <c r="E94">
        <f t="shared" si="18"/>
        <v>2.7938295990922776E-2</v>
      </c>
      <c r="F94">
        <f t="shared" si="19"/>
        <v>-6.4649267208774699E-3</v>
      </c>
      <c r="G94">
        <f t="shared" si="20"/>
        <v>-1.2904689863842663E-3</v>
      </c>
      <c r="H94">
        <f t="shared" si="23"/>
        <v>3.5963159999999682E-2</v>
      </c>
      <c r="I94">
        <f t="shared" ref="I94:I111" si="24">H94-C94</f>
        <v>-1.5190773800826542E-2</v>
      </c>
      <c r="J94">
        <f t="shared" si="21"/>
        <v>0.1601663233492745</v>
      </c>
      <c r="K94">
        <f t="shared" si="22"/>
        <v>13.972682414661289</v>
      </c>
    </row>
    <row r="95" spans="2:11" x14ac:dyDescent="0.25">
      <c r="B95">
        <f>B94+L/100</f>
        <v>13.440000000000008</v>
      </c>
      <c r="C95">
        <f t="shared" si="16"/>
        <v>4.3867263217670427E-2</v>
      </c>
      <c r="D95">
        <f t="shared" si="17"/>
        <v>-4.336245556026197E-2</v>
      </c>
      <c r="E95">
        <f t="shared" si="18"/>
        <v>2.6887389712556664E-2</v>
      </c>
      <c r="F95">
        <f t="shared" si="19"/>
        <v>-6.671401758698953E-3</v>
      </c>
      <c r="G95">
        <f t="shared" si="20"/>
        <v>-1.2904689863842663E-3</v>
      </c>
      <c r="H95">
        <f t="shared" si="23"/>
        <v>3.0146559999999715E-2</v>
      </c>
      <c r="I95">
        <f t="shared" si="24"/>
        <v>-1.3720703217670712E-2</v>
      </c>
      <c r="J95">
        <f t="shared" si="21"/>
        <v>0.16013645202881166</v>
      </c>
      <c r="K95">
        <f t="shared" si="22"/>
        <v>14.132848738010564</v>
      </c>
    </row>
    <row r="96" spans="2:11" x14ac:dyDescent="0.25">
      <c r="B96">
        <f>B95+L/100</f>
        <v>13.600000000000009</v>
      </c>
      <c r="C96">
        <f t="shared" si="16"/>
        <v>3.7268839334341664E-2</v>
      </c>
      <c r="D96">
        <f t="shared" si="17"/>
        <v>-3.91467481089256E-2</v>
      </c>
      <c r="E96">
        <f t="shared" si="18"/>
        <v>2.5803447428139115E-2</v>
      </c>
      <c r="F96">
        <f t="shared" si="19"/>
        <v>-6.8778767965204362E-3</v>
      </c>
      <c r="G96">
        <f t="shared" si="20"/>
        <v>-1.2904689863842663E-3</v>
      </c>
      <c r="H96">
        <f t="shared" si="23"/>
        <v>2.497499999999974E-2</v>
      </c>
      <c r="I96">
        <f t="shared" si="24"/>
        <v>-1.2293839334341923E-2</v>
      </c>
      <c r="J96">
        <f t="shared" si="21"/>
        <v>0.16011056044644661</v>
      </c>
      <c r="K96">
        <f t="shared" si="22"/>
        <v>14.292985190039376</v>
      </c>
    </row>
    <row r="97" spans="2:12" x14ac:dyDescent="0.25">
      <c r="B97">
        <f>B96+L/100</f>
        <v>13.760000000000009</v>
      </c>
      <c r="C97">
        <f t="shared" si="16"/>
        <v>3.1330913228360124E-2</v>
      </c>
      <c r="D97">
        <f t="shared" si="17"/>
        <v>-3.5107114303580156E-2</v>
      </c>
      <c r="E97">
        <f t="shared" si="18"/>
        <v>2.4686469137670128E-2</v>
      </c>
      <c r="F97">
        <f t="shared" si="19"/>
        <v>-7.0843518343419159E-3</v>
      </c>
      <c r="G97">
        <f t="shared" si="20"/>
        <v>-1.2904689863842663E-3</v>
      </c>
      <c r="H97">
        <f t="shared" si="23"/>
        <v>2.0415359999999768E-2</v>
      </c>
      <c r="I97">
        <f t="shared" si="24"/>
        <v>-1.0915553228360356E-2</v>
      </c>
      <c r="J97">
        <f t="shared" si="21"/>
        <v>0.16008833526668972</v>
      </c>
      <c r="K97">
        <f t="shared" si="22"/>
        <v>14.453095750485822</v>
      </c>
    </row>
    <row r="98" spans="2:12" x14ac:dyDescent="0.25">
      <c r="B98">
        <f>B97+L/100</f>
        <v>13.920000000000009</v>
      </c>
      <c r="C98">
        <f t="shared" si="16"/>
        <v>2.6024890255491151E-2</v>
      </c>
      <c r="D98">
        <f t="shared" si="17"/>
        <v>-3.1248839905193893E-2</v>
      </c>
      <c r="E98">
        <f t="shared" si="18"/>
        <v>2.3536454841149718E-2</v>
      </c>
      <c r="F98">
        <f t="shared" si="19"/>
        <v>-7.290826872163399E-3</v>
      </c>
      <c r="G98">
        <f t="shared" si="20"/>
        <v>-1.2904689863842663E-3</v>
      </c>
      <c r="H98">
        <f t="shared" si="23"/>
        <v>1.6433559999999795E-2</v>
      </c>
      <c r="I98">
        <f t="shared" si="24"/>
        <v>-9.5913302554913558E-3</v>
      </c>
      <c r="J98">
        <f t="shared" si="21"/>
        <v>0.16006946438964348</v>
      </c>
      <c r="K98">
        <f t="shared" si="22"/>
        <v>14.613184085752511</v>
      </c>
    </row>
    <row r="99" spans="2:12" x14ac:dyDescent="0.25">
      <c r="B99">
        <f>B98+L/100</f>
        <v>14.080000000000009</v>
      </c>
      <c r="C99">
        <f t="shared" si="16"/>
        <v>2.1321330049743015E-2</v>
      </c>
      <c r="D99">
        <f t="shared" si="17"/>
        <v>-2.7577210674734953E-2</v>
      </c>
      <c r="E99">
        <f t="shared" si="18"/>
        <v>2.235340453857787E-2</v>
      </c>
      <c r="F99">
        <f t="shared" si="19"/>
        <v>-7.4973019099848822E-3</v>
      </c>
      <c r="G99">
        <f t="shared" si="20"/>
        <v>-1.2904689863842663E-3</v>
      </c>
      <c r="H99">
        <f t="shared" si="23"/>
        <v>1.2994559999999822E-2</v>
      </c>
      <c r="I99">
        <f t="shared" si="24"/>
        <v>-8.3267700497431929E-3</v>
      </c>
      <c r="J99">
        <f t="shared" si="21"/>
        <v>0.16005363855357274</v>
      </c>
      <c r="K99">
        <f t="shared" si="22"/>
        <v>14.773253550142154</v>
      </c>
    </row>
    <row r="100" spans="2:12" x14ac:dyDescent="0.25">
      <c r="B100">
        <f>B99+L/100</f>
        <v>14.240000000000009</v>
      </c>
      <c r="C100">
        <f t="shared" si="16"/>
        <v>1.7189946523368693E-2</v>
      </c>
      <c r="D100">
        <f t="shared" si="17"/>
        <v>-2.4097512373171703E-2</v>
      </c>
      <c r="E100">
        <f t="shared" si="18"/>
        <v>2.1137318229954544E-2</v>
      </c>
      <c r="F100">
        <f t="shared" si="19"/>
        <v>-7.7037769478063654E-3</v>
      </c>
      <c r="G100">
        <f t="shared" si="20"/>
        <v>-1.2904689863842663E-3</v>
      </c>
      <c r="H100">
        <f t="shared" si="23"/>
        <v>1.0062359999999847E-2</v>
      </c>
      <c r="I100">
        <f t="shared" si="24"/>
        <v>-7.1275865233688465E-3</v>
      </c>
      <c r="J100">
        <f t="shared" si="21"/>
        <v>0.16004055297651248</v>
      </c>
      <c r="K100">
        <f t="shared" si="22"/>
        <v>14.933307188695727</v>
      </c>
    </row>
    <row r="101" spans="2:12" x14ac:dyDescent="0.25">
      <c r="B101">
        <f>B100+L/100</f>
        <v>14.400000000000009</v>
      </c>
      <c r="C101">
        <f t="shared" si="16"/>
        <v>1.3599607866868091E-2</v>
      </c>
      <c r="D101">
        <f t="shared" si="17"/>
        <v>-2.0815030761472286E-2</v>
      </c>
      <c r="E101">
        <f t="shared" si="18"/>
        <v>1.9888195915279822E-2</v>
      </c>
      <c r="F101">
        <f t="shared" si="19"/>
        <v>-7.9102519856278485E-3</v>
      </c>
      <c r="G101">
        <f t="shared" si="20"/>
        <v>-1.2904689863842663E-3</v>
      </c>
      <c r="H101">
        <f t="shared" si="23"/>
        <v>7.5999999999998707E-3</v>
      </c>
      <c r="I101">
        <f t="shared" si="24"/>
        <v>-5.9996078668682201E-3</v>
      </c>
      <c r="J101">
        <f t="shared" si="21"/>
        <v>0.16002990903650322</v>
      </c>
      <c r="K101">
        <f t="shared" si="22"/>
        <v>15.09334774167224</v>
      </c>
    </row>
    <row r="102" spans="2:12" x14ac:dyDescent="0.25">
      <c r="B102">
        <f>B101+L/100</f>
        <v>14.560000000000009</v>
      </c>
      <c r="C102">
        <f t="shared" si="16"/>
        <v>1.0518336548985818E-2</v>
      </c>
      <c r="D102">
        <f t="shared" si="17"/>
        <v>-1.7735051600604845E-2</v>
      </c>
      <c r="E102">
        <f t="shared" si="18"/>
        <v>1.8606037594553648E-2</v>
      </c>
      <c r="F102">
        <f t="shared" si="19"/>
        <v>-8.1167270234493317E-3</v>
      </c>
      <c r="G102">
        <f t="shared" si="20"/>
        <v>-1.2904689863842663E-3</v>
      </c>
      <c r="H102">
        <f t="shared" si="23"/>
        <v>5.5695599999998928E-3</v>
      </c>
      <c r="I102">
        <f t="shared" si="24"/>
        <v>-4.9487765489859255E-3</v>
      </c>
      <c r="J102">
        <f t="shared" si="21"/>
        <v>0.16002141599019784</v>
      </c>
      <c r="K102">
        <f t="shared" si="22"/>
        <v>15.253377650708742</v>
      </c>
    </row>
    <row r="103" spans="2:12" x14ac:dyDescent="0.25">
      <c r="B103">
        <f>B102+L/100</f>
        <v>14.72000000000001</v>
      </c>
      <c r="C103">
        <f t="shared" si="16"/>
        <v>7.9133093167125246E-3</v>
      </c>
      <c r="D103">
        <f t="shared" si="17"/>
        <v>-1.4862860651537857E-2</v>
      </c>
      <c r="E103">
        <f t="shared" si="18"/>
        <v>1.7290843267776024E-2</v>
      </c>
      <c r="F103">
        <f t="shared" si="19"/>
        <v>-8.3232020612708148E-3</v>
      </c>
      <c r="G103">
        <f t="shared" si="20"/>
        <v>-1.2904689863842663E-3</v>
      </c>
      <c r="H103">
        <f t="shared" si="23"/>
        <v>3.9321599999999138E-3</v>
      </c>
      <c r="I103">
        <f t="shared" si="24"/>
        <v>-3.9811493167126108E-3</v>
      </c>
      <c r="J103">
        <f t="shared" si="21"/>
        <v>0.16001479272973401</v>
      </c>
      <c r="K103">
        <f t="shared" si="22"/>
        <v>15.41339906669894</v>
      </c>
    </row>
    <row r="104" spans="2:12" x14ac:dyDescent="0.25">
      <c r="B104">
        <f>B103+L/100</f>
        <v>14.88000000000001</v>
      </c>
      <c r="C104">
        <f t="shared" si="16"/>
        <v>5.7508571952804566E-3</v>
      </c>
      <c r="D104">
        <f t="shared" si="17"/>
        <v>-1.2203743675239465E-2</v>
      </c>
      <c r="E104">
        <f t="shared" si="18"/>
        <v>1.5942612934946976E-2</v>
      </c>
      <c r="F104">
        <f t="shared" si="19"/>
        <v>-8.529677099092298E-3</v>
      </c>
      <c r="G104">
        <f t="shared" si="20"/>
        <v>-1.2904689863842663E-3</v>
      </c>
      <c r="H104">
        <f t="shared" si="23"/>
        <v>2.6479599999999323E-3</v>
      </c>
      <c r="I104">
        <f t="shared" si="24"/>
        <v>-3.1028971952805242E-3</v>
      </c>
      <c r="J104">
        <f t="shared" si="21"/>
        <v>0.1600097695779153</v>
      </c>
      <c r="K104">
        <f t="shared" si="22"/>
        <v>15.573413859428674</v>
      </c>
    </row>
    <row r="105" spans="2:12" x14ac:dyDescent="0.25">
      <c r="B105">
        <f>B104+L/100</f>
        <v>15.04000000000001</v>
      </c>
      <c r="C105">
        <f t="shared" si="16"/>
        <v>3.9964654881692319E-3</v>
      </c>
      <c r="D105">
        <f t="shared" si="17"/>
        <v>-9.7629864326777005E-3</v>
      </c>
      <c r="E105">
        <f t="shared" si="18"/>
        <v>1.4561346596066477E-2</v>
      </c>
      <c r="F105">
        <f t="shared" si="19"/>
        <v>-8.7361521369137812E-3</v>
      </c>
      <c r="G105">
        <f t="shared" si="20"/>
        <v>-1.2904689863842663E-3</v>
      </c>
      <c r="H105">
        <f t="shared" si="23"/>
        <v>1.6761599999999491E-3</v>
      </c>
      <c r="I105">
        <f t="shared" si="24"/>
        <v>-2.3203054881692827E-3</v>
      </c>
      <c r="J105">
        <f t="shared" si="21"/>
        <v>0.16000609012188605</v>
      </c>
      <c r="K105">
        <f t="shared" si="22"/>
        <v>15.733423629006589</v>
      </c>
    </row>
    <row r="106" spans="2:12" x14ac:dyDescent="0.25">
      <c r="B106">
        <f>B105+L/100</f>
        <v>15.20000000000001</v>
      </c>
      <c r="C106">
        <f t="shared" si="16"/>
        <v>2.6147737771053947E-3</v>
      </c>
      <c r="D106">
        <f t="shared" si="17"/>
        <v>-7.5458746848208191E-3</v>
      </c>
      <c r="E106">
        <f t="shared" si="18"/>
        <v>1.3147044251134554E-2</v>
      </c>
      <c r="F106">
        <f t="shared" si="19"/>
        <v>-8.9426271747352643E-3</v>
      </c>
      <c r="G106">
        <f t="shared" si="20"/>
        <v>-1.2904689863842663E-3</v>
      </c>
      <c r="H106">
        <f t="shared" si="23"/>
        <v>9.7499999999996396E-4</v>
      </c>
      <c r="I106">
        <f t="shared" si="24"/>
        <v>-1.6397737771054308E-3</v>
      </c>
      <c r="J106">
        <f t="shared" si="21"/>
        <v>0.16000351308561858</v>
      </c>
      <c r="K106">
        <f t="shared" si="22"/>
        <v>15.893429719128475</v>
      </c>
    </row>
    <row r="107" spans="2:12" x14ac:dyDescent="0.25">
      <c r="B107">
        <f>B106+L/100</f>
        <v>15.36000000000001</v>
      </c>
      <c r="C107">
        <f t="shared" si="16"/>
        <v>1.569575922056643E-3</v>
      </c>
      <c r="D107">
        <f t="shared" si="17"/>
        <v>-5.5576941926372969E-3</v>
      </c>
      <c r="E107">
        <f t="shared" si="18"/>
        <v>1.1699705900151208E-2</v>
      </c>
      <c r="F107">
        <f t="shared" si="19"/>
        <v>-9.149102212556744E-3</v>
      </c>
      <c r="G107">
        <f t="shared" si="20"/>
        <v>-1.2904689863842663E-3</v>
      </c>
      <c r="H107">
        <f t="shared" si="23"/>
        <v>5.0175999999997644E-4</v>
      </c>
      <c r="I107">
        <f t="shared" si="24"/>
        <v>-1.0678159220566664E-3</v>
      </c>
      <c r="J107">
        <f t="shared" si="21"/>
        <v>0.16000181424165055</v>
      </c>
      <c r="K107">
        <f t="shared" si="22"/>
        <v>16.053433232214093</v>
      </c>
    </row>
    <row r="108" spans="2:12" x14ac:dyDescent="0.25">
      <c r="B108">
        <f>B107+L/100</f>
        <v>15.52000000000001</v>
      </c>
      <c r="C108">
        <f t="shared" si="16"/>
        <v>8.2382006124070983E-4</v>
      </c>
      <c r="D108">
        <f t="shared" si="17"/>
        <v>-3.8037307170951662E-3</v>
      </c>
      <c r="E108">
        <f t="shared" si="18"/>
        <v>1.0219331543116383E-2</v>
      </c>
      <c r="F108">
        <f t="shared" si="19"/>
        <v>-9.3555772503782272E-3</v>
      </c>
      <c r="G108">
        <f t="shared" si="20"/>
        <v>-1.2904689863842663E-3</v>
      </c>
      <c r="H108">
        <f t="shared" si="23"/>
        <v>2.1275999999998644E-4</v>
      </c>
      <c r="I108">
        <f t="shared" si="24"/>
        <v>-6.110600612407234E-4</v>
      </c>
      <c r="J108">
        <f t="shared" si="21"/>
        <v>0.16000078836261572</v>
      </c>
      <c r="K108">
        <f t="shared" si="22"/>
        <v>16.213435046455743</v>
      </c>
    </row>
    <row r="109" spans="2:12" x14ac:dyDescent="0.25">
      <c r="B109">
        <f>B108+L/100</f>
        <v>15.68000000000001</v>
      </c>
      <c r="C109">
        <f t="shared" si="16"/>
        <v>3.3960861111426155E-4</v>
      </c>
      <c r="D109">
        <f t="shared" si="17"/>
        <v>-2.2892700191627924E-3</v>
      </c>
      <c r="E109">
        <f t="shared" si="18"/>
        <v>8.7059211800301628E-3</v>
      </c>
      <c r="F109">
        <f t="shared" si="19"/>
        <v>-9.5620522881997103E-3</v>
      </c>
      <c r="G109">
        <f t="shared" si="20"/>
        <v>-1.2904689863842663E-3</v>
      </c>
      <c r="H109">
        <f t="shared" si="23"/>
        <v>6.3359999999993864E-5</v>
      </c>
      <c r="I109">
        <f t="shared" si="24"/>
        <v>-2.7624861111426769E-4</v>
      </c>
      <c r="J109">
        <f t="shared" si="21"/>
        <v>0.1600002512131953</v>
      </c>
      <c r="K109">
        <f t="shared" si="22"/>
        <v>16.373435834818359</v>
      </c>
    </row>
    <row r="110" spans="2:12" x14ac:dyDescent="0.25">
      <c r="B110">
        <f>B109+L/100</f>
        <v>15.840000000000011</v>
      </c>
      <c r="C110">
        <f t="shared" si="16"/>
        <v>7.8198266384443826E-5</v>
      </c>
      <c r="D110">
        <f t="shared" si="17"/>
        <v>-1.0195978598082078E-3</v>
      </c>
      <c r="E110">
        <f t="shared" si="18"/>
        <v>7.159474810892491E-3</v>
      </c>
      <c r="F110">
        <f t="shared" si="19"/>
        <v>-9.7685273260211935E-3</v>
      </c>
      <c r="G110">
        <f t="shared" si="20"/>
        <v>-1.2904689863842663E-3</v>
      </c>
      <c r="H110">
        <f t="shared" si="23"/>
        <v>7.959999999998433E-6</v>
      </c>
      <c r="I110">
        <f t="shared" si="24"/>
        <v>-7.02382663844454E-5</v>
      </c>
      <c r="J110">
        <f t="shared" si="21"/>
        <v>0.16000004158318115</v>
      </c>
      <c r="K110">
        <f t="shared" si="22"/>
        <v>16.533436086031553</v>
      </c>
    </row>
    <row r="111" spans="2:12" x14ac:dyDescent="0.25">
      <c r="B111">
        <f>B110+L/100</f>
        <v>16.000000000000011</v>
      </c>
      <c r="C111">
        <f t="shared" si="16"/>
        <v>0</v>
      </c>
      <c r="D111">
        <f t="shared" si="17"/>
        <v>0</v>
      </c>
      <c r="E111">
        <f t="shared" si="18"/>
        <v>5.5799924357033681E-3</v>
      </c>
      <c r="F111">
        <f t="shared" si="19"/>
        <v>-9.9750023638426766E-3</v>
      </c>
      <c r="G111">
        <f t="shared" si="20"/>
        <v>-1.2904689863842663E-3</v>
      </c>
      <c r="H111">
        <f t="shared" si="23"/>
        <v>-2.3646911585481297E-45</v>
      </c>
      <c r="I111">
        <f t="shared" si="24"/>
        <v>-2.3646911585481297E-45</v>
      </c>
      <c r="K111">
        <f t="shared" si="22"/>
        <v>16.693436127614735</v>
      </c>
      <c r="L111">
        <v>17.207003867660223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43B9-1385-421B-B606-AE52148189B9}">
  <dimension ref="A3:O11"/>
  <sheetViews>
    <sheetView workbookViewId="0">
      <selection activeCell="L12" sqref="L12"/>
    </sheetView>
  </sheetViews>
  <sheetFormatPr defaultRowHeight="15" x14ac:dyDescent="0.25"/>
  <cols>
    <col min="1" max="1" width="11.5703125" bestFit="1" customWidth="1"/>
    <col min="2" max="2" width="9.7109375" bestFit="1" customWidth="1"/>
  </cols>
  <sheetData>
    <row r="3" spans="1:15" x14ac:dyDescent="0.25">
      <c r="E3" t="s">
        <v>33</v>
      </c>
      <c r="G3" t="s">
        <v>35</v>
      </c>
      <c r="K3" t="s">
        <v>36</v>
      </c>
      <c r="O3" t="s">
        <v>37</v>
      </c>
    </row>
    <row r="4" spans="1:15" x14ac:dyDescent="0.25">
      <c r="A4" t="s">
        <v>31</v>
      </c>
      <c r="B4">
        <v>15.75</v>
      </c>
      <c r="C4">
        <v>0.5</v>
      </c>
      <c r="E4">
        <f>C4*B4</f>
        <v>7.875</v>
      </c>
      <c r="G4">
        <f>B4*C4^3/12</f>
        <v>0.1640625</v>
      </c>
      <c r="K4">
        <f>0.31-0.25</f>
        <v>0.06</v>
      </c>
      <c r="O4">
        <f>G4+E4*K4^2</f>
        <v>0.19241249999999999</v>
      </c>
    </row>
    <row r="5" spans="1:15" x14ac:dyDescent="0.25">
      <c r="A5" t="s">
        <v>32</v>
      </c>
      <c r="B5">
        <v>6</v>
      </c>
      <c r="C5">
        <v>0.25</v>
      </c>
      <c r="E5">
        <f>C5*B5</f>
        <v>1.5</v>
      </c>
      <c r="G5">
        <f>B5*C5^3/12</f>
        <v>7.8125E-3</v>
      </c>
      <c r="K5">
        <f>0.625-0.31</f>
        <v>0.315</v>
      </c>
      <c r="O5">
        <f>G5+E5*K5^2</f>
        <v>0.15665000000000001</v>
      </c>
    </row>
    <row r="6" spans="1:15" x14ac:dyDescent="0.25">
      <c r="O6">
        <f>SUM(O4:O5)</f>
        <v>0.3490625</v>
      </c>
    </row>
    <row r="11" spans="1:15" x14ac:dyDescent="0.25">
      <c r="B11" t="s">
        <v>34</v>
      </c>
      <c r="D11">
        <f>(0.25 * 7.875 + 0.625 * 1.5) / (7.875+1.5)</f>
        <v>0.31</v>
      </c>
      <c r="L11">
        <v>0.34906300000000001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2C4A-A135-48EE-8D6B-7836FD178EAF}">
  <dimension ref="A1:AX58"/>
  <sheetViews>
    <sheetView topLeftCell="A6" workbookViewId="0">
      <selection activeCell="B56" sqref="A7:B56"/>
    </sheetView>
  </sheetViews>
  <sheetFormatPr defaultRowHeight="15" x14ac:dyDescent="0.25"/>
  <sheetData>
    <row r="1" spans="1:50" x14ac:dyDescent="0.25">
      <c r="A1">
        <v>0</v>
      </c>
      <c r="B1">
        <v>2.7205782935752101E-3</v>
      </c>
      <c r="C1">
        <v>5.3875047562187599E-3</v>
      </c>
      <c r="D1">
        <v>7.9711222141659807E-3</v>
      </c>
      <c r="E1">
        <v>1.0455035679525E-2</v>
      </c>
      <c r="F1">
        <v>1.2830181410447899E-2</v>
      </c>
      <c r="G1">
        <v>1.50915484030126E-2</v>
      </c>
      <c r="H1">
        <v>1.7236365812888298E-2</v>
      </c>
      <c r="I1">
        <v>1.9263101003080398E-2</v>
      </c>
      <c r="J1">
        <v>2.1170905738643001E-2</v>
      </c>
      <c r="K1">
        <v>2.2959310083179699E-2</v>
      </c>
      <c r="L1">
        <v>2.4628053214118099E-2</v>
      </c>
      <c r="M1">
        <v>2.6176989925016499E-2</v>
      </c>
      <c r="N1">
        <v>2.7606038965084401E-2</v>
      </c>
      <c r="O1">
        <v>2.8915154502908599E-2</v>
      </c>
      <c r="P1">
        <v>3.01043103699387E-2</v>
      </c>
      <c r="Q1">
        <v>3.1173491365802899E-2</v>
      </c>
      <c r="R1">
        <v>3.2122688465535398E-2</v>
      </c>
      <c r="S1">
        <v>3.2951896183598402E-2</v>
      </c>
      <c r="T1">
        <v>3.36611111326688E-2</v>
      </c>
      <c r="U1">
        <v>3.4250331249278801E-2</v>
      </c>
      <c r="V1">
        <v>3.47195553999506E-2</v>
      </c>
      <c r="W1">
        <v>3.5068783217127898E-2</v>
      </c>
      <c r="X1">
        <v>3.5298015092145703E-2</v>
      </c>
      <c r="Y1">
        <v>3.54072522997897E-2</v>
      </c>
      <c r="Z1">
        <v>3.5396497261271399E-2</v>
      </c>
      <c r="AA1">
        <v>3.5265753979226502E-2</v>
      </c>
      <c r="AB1">
        <v>3.5015028706204598E-2</v>
      </c>
      <c r="AC1">
        <v>3.4644330942550601E-2</v>
      </c>
      <c r="AD1">
        <v>3.4153674906240203E-2</v>
      </c>
      <c r="AE1">
        <v>3.3543081683049397E-2</v>
      </c>
      <c r="AF1">
        <v>3.2812582359684699E-2</v>
      </c>
      <c r="AG1">
        <v>3.1962222578196399E-2</v>
      </c>
      <c r="AH1">
        <v>3.0992069145778501E-2</v>
      </c>
      <c r="AI1">
        <v>2.9902219616805399E-2</v>
      </c>
      <c r="AJ1">
        <v>2.8692816172570301E-2</v>
      </c>
      <c r="AK1">
        <v>2.7364065715003199E-2</v>
      </c>
      <c r="AL1">
        <v>2.5916268945262201E-2</v>
      </c>
      <c r="AM1">
        <v>2.43498624346483E-2</v>
      </c>
      <c r="AN1">
        <v>2.2665479484875101E-2</v>
      </c>
      <c r="AO1">
        <v>2.0864038164923202E-2</v>
      </c>
      <c r="AP1">
        <v>1.8946868660900101E-2</v>
      </c>
      <c r="AQ1">
        <v>1.6915897502103702E-2</v>
      </c>
      <c r="AR1">
        <v>1.47739140812915E-2</v>
      </c>
      <c r="AS1">
        <v>1.25249562558634E-2</v>
      </c>
      <c r="AT1">
        <v>1.0174868270531301E-2</v>
      </c>
      <c r="AU1">
        <v>7.7321080546954796E-3</v>
      </c>
      <c r="AV1">
        <v>5.2089154092850197E-3</v>
      </c>
      <c r="AW1">
        <v>2.6230024692499802E-3</v>
      </c>
      <c r="AX1">
        <v>0</v>
      </c>
    </row>
    <row r="7" spans="1:50" x14ac:dyDescent="0.25">
      <c r="A7">
        <v>0</v>
      </c>
      <c r="B7">
        <v>0</v>
      </c>
    </row>
    <row r="8" spans="1:50" x14ac:dyDescent="0.25">
      <c r="A8">
        <v>0.64</v>
      </c>
      <c r="B8">
        <v>2.7205782935752101E-3</v>
      </c>
    </row>
    <row r="9" spans="1:50" x14ac:dyDescent="0.25">
      <c r="A9">
        <v>1.28</v>
      </c>
      <c r="B9">
        <v>5.3875047562187599E-3</v>
      </c>
    </row>
    <row r="10" spans="1:50" x14ac:dyDescent="0.25">
      <c r="A10">
        <v>1.92</v>
      </c>
      <c r="B10">
        <v>7.9711222141659807E-3</v>
      </c>
    </row>
    <row r="11" spans="1:50" x14ac:dyDescent="0.25">
      <c r="A11">
        <v>2.56</v>
      </c>
      <c r="B11">
        <v>1.0455035679525E-2</v>
      </c>
    </row>
    <row r="12" spans="1:50" x14ac:dyDescent="0.25">
      <c r="A12">
        <v>3.2</v>
      </c>
      <c r="B12">
        <v>1.2830181410447899E-2</v>
      </c>
    </row>
    <row r="13" spans="1:50" x14ac:dyDescent="0.25">
      <c r="A13">
        <v>3.84</v>
      </c>
      <c r="B13">
        <v>1.50915484030126E-2</v>
      </c>
    </row>
    <row r="14" spans="1:50" x14ac:dyDescent="0.25">
      <c r="A14">
        <v>4.4800000000000004</v>
      </c>
      <c r="B14">
        <v>1.7236365812888298E-2</v>
      </c>
    </row>
    <row r="15" spans="1:50" x14ac:dyDescent="0.25">
      <c r="A15">
        <v>5.12</v>
      </c>
      <c r="B15">
        <v>1.9263101003080398E-2</v>
      </c>
    </row>
    <row r="16" spans="1:50" x14ac:dyDescent="0.25">
      <c r="A16">
        <v>5.76</v>
      </c>
      <c r="B16">
        <v>2.1170905738643001E-2</v>
      </c>
    </row>
    <row r="17" spans="1:2" x14ac:dyDescent="0.25">
      <c r="A17">
        <v>6.4</v>
      </c>
      <c r="B17">
        <v>2.2959310083179699E-2</v>
      </c>
    </row>
    <row r="18" spans="1:2" x14ac:dyDescent="0.25">
      <c r="A18">
        <v>7.04</v>
      </c>
      <c r="B18">
        <v>2.4628053214118099E-2</v>
      </c>
    </row>
    <row r="19" spans="1:2" x14ac:dyDescent="0.25">
      <c r="A19">
        <v>7.68</v>
      </c>
      <c r="B19">
        <v>2.6176989925016499E-2</v>
      </c>
    </row>
    <row r="20" spans="1:2" x14ac:dyDescent="0.25">
      <c r="A20">
        <v>8.32</v>
      </c>
      <c r="B20">
        <v>2.7606038965084401E-2</v>
      </c>
    </row>
    <row r="21" spans="1:2" x14ac:dyDescent="0.25">
      <c r="A21">
        <v>8.9600000000000009</v>
      </c>
      <c r="B21">
        <v>2.8915154502908599E-2</v>
      </c>
    </row>
    <row r="22" spans="1:2" x14ac:dyDescent="0.25">
      <c r="A22">
        <v>9.6</v>
      </c>
      <c r="B22">
        <v>3.01043103699387E-2</v>
      </c>
    </row>
    <row r="23" spans="1:2" x14ac:dyDescent="0.25">
      <c r="A23">
        <v>10.24</v>
      </c>
      <c r="B23">
        <v>3.1173491365802899E-2</v>
      </c>
    </row>
    <row r="24" spans="1:2" x14ac:dyDescent="0.25">
      <c r="A24">
        <v>10.88</v>
      </c>
      <c r="B24">
        <v>3.2122688465535398E-2</v>
      </c>
    </row>
    <row r="25" spans="1:2" x14ac:dyDescent="0.25">
      <c r="A25">
        <v>11.52</v>
      </c>
      <c r="B25">
        <v>3.2951896183598402E-2</v>
      </c>
    </row>
    <row r="26" spans="1:2" x14ac:dyDescent="0.25">
      <c r="A26">
        <v>12.16</v>
      </c>
      <c r="B26">
        <v>3.36611111326688E-2</v>
      </c>
    </row>
    <row r="27" spans="1:2" x14ac:dyDescent="0.25">
      <c r="A27">
        <v>12.8</v>
      </c>
      <c r="B27">
        <v>3.4250331249278801E-2</v>
      </c>
    </row>
    <row r="28" spans="1:2" x14ac:dyDescent="0.25">
      <c r="A28">
        <v>13.44</v>
      </c>
      <c r="B28">
        <v>3.47195553999506E-2</v>
      </c>
    </row>
    <row r="29" spans="1:2" x14ac:dyDescent="0.25">
      <c r="A29">
        <v>14.08</v>
      </c>
      <c r="B29">
        <v>3.5068783217127898E-2</v>
      </c>
    </row>
    <row r="30" spans="1:2" x14ac:dyDescent="0.25">
      <c r="A30">
        <v>14.72</v>
      </c>
      <c r="B30">
        <v>3.5298015092145703E-2</v>
      </c>
    </row>
    <row r="31" spans="1:2" x14ac:dyDescent="0.25">
      <c r="A31">
        <v>15.36</v>
      </c>
      <c r="B31">
        <v>3.54072522997897E-2</v>
      </c>
    </row>
    <row r="32" spans="1:2" x14ac:dyDescent="0.25">
      <c r="A32">
        <v>16</v>
      </c>
      <c r="B32">
        <v>3.5396497261271399E-2</v>
      </c>
    </row>
    <row r="33" spans="1:2" x14ac:dyDescent="0.25">
      <c r="A33">
        <v>16.64</v>
      </c>
      <c r="B33">
        <v>3.5265753979226502E-2</v>
      </c>
    </row>
    <row r="34" spans="1:2" x14ac:dyDescent="0.25">
      <c r="A34">
        <v>17.28</v>
      </c>
      <c r="B34">
        <v>3.5015028706204598E-2</v>
      </c>
    </row>
    <row r="35" spans="1:2" x14ac:dyDescent="0.25">
      <c r="A35">
        <v>17.920000000000002</v>
      </c>
      <c r="B35">
        <v>3.4644330942550601E-2</v>
      </c>
    </row>
    <row r="36" spans="1:2" x14ac:dyDescent="0.25">
      <c r="A36">
        <v>18.559999999999999</v>
      </c>
      <c r="B36">
        <v>3.4153674906240203E-2</v>
      </c>
    </row>
    <row r="37" spans="1:2" x14ac:dyDescent="0.25">
      <c r="A37">
        <v>19.2</v>
      </c>
      <c r="B37">
        <v>3.3543081683049397E-2</v>
      </c>
    </row>
    <row r="38" spans="1:2" x14ac:dyDescent="0.25">
      <c r="A38">
        <v>19.84</v>
      </c>
      <c r="B38">
        <v>3.2812582359684699E-2</v>
      </c>
    </row>
    <row r="39" spans="1:2" x14ac:dyDescent="0.25">
      <c r="A39">
        <v>20.48</v>
      </c>
      <c r="B39">
        <v>3.1962222578196399E-2</v>
      </c>
    </row>
    <row r="40" spans="1:2" x14ac:dyDescent="0.25">
      <c r="A40">
        <v>21.12</v>
      </c>
      <c r="B40">
        <v>3.0992069145778501E-2</v>
      </c>
    </row>
    <row r="41" spans="1:2" x14ac:dyDescent="0.25">
      <c r="A41">
        <v>21.76</v>
      </c>
      <c r="B41">
        <v>2.9902219616805399E-2</v>
      </c>
    </row>
    <row r="42" spans="1:2" x14ac:dyDescent="0.25">
      <c r="A42">
        <v>22.4</v>
      </c>
      <c r="B42">
        <v>2.8692816172570301E-2</v>
      </c>
    </row>
    <row r="43" spans="1:2" x14ac:dyDescent="0.25">
      <c r="A43">
        <v>23.04</v>
      </c>
      <c r="B43">
        <v>2.7364065715003199E-2</v>
      </c>
    </row>
    <row r="44" spans="1:2" x14ac:dyDescent="0.25">
      <c r="A44">
        <v>23.68</v>
      </c>
      <c r="B44">
        <v>2.5916268945262201E-2</v>
      </c>
    </row>
    <row r="45" spans="1:2" x14ac:dyDescent="0.25">
      <c r="A45">
        <v>24.32</v>
      </c>
      <c r="B45">
        <v>2.43498624346483E-2</v>
      </c>
    </row>
    <row r="46" spans="1:2" x14ac:dyDescent="0.25">
      <c r="A46">
        <v>24.96</v>
      </c>
      <c r="B46">
        <v>2.2665479484875101E-2</v>
      </c>
    </row>
    <row r="47" spans="1:2" x14ac:dyDescent="0.25">
      <c r="A47">
        <v>25.6</v>
      </c>
      <c r="B47">
        <v>2.0864038164923202E-2</v>
      </c>
    </row>
    <row r="48" spans="1:2" x14ac:dyDescent="0.25">
      <c r="A48">
        <v>26.24</v>
      </c>
      <c r="B48">
        <v>1.8946868660900101E-2</v>
      </c>
    </row>
    <row r="49" spans="1:2" x14ac:dyDescent="0.25">
      <c r="A49">
        <v>26.88</v>
      </c>
      <c r="B49">
        <v>1.6915897502103702E-2</v>
      </c>
    </row>
    <row r="50" spans="1:2" x14ac:dyDescent="0.25">
      <c r="A50">
        <v>27.52</v>
      </c>
      <c r="B50">
        <v>1.47739140812915E-2</v>
      </c>
    </row>
    <row r="51" spans="1:2" x14ac:dyDescent="0.25">
      <c r="A51">
        <v>28.16</v>
      </c>
      <c r="B51">
        <v>1.25249562558634E-2</v>
      </c>
    </row>
    <row r="52" spans="1:2" x14ac:dyDescent="0.25">
      <c r="A52">
        <v>28.8</v>
      </c>
      <c r="B52">
        <v>1.0174868270531301E-2</v>
      </c>
    </row>
    <row r="53" spans="1:2" x14ac:dyDescent="0.25">
      <c r="A53">
        <v>29.44</v>
      </c>
      <c r="B53">
        <v>7.7321080546954796E-3</v>
      </c>
    </row>
    <row r="54" spans="1:2" x14ac:dyDescent="0.25">
      <c r="A54">
        <v>30.08</v>
      </c>
      <c r="B54">
        <v>5.2089154092850197E-3</v>
      </c>
    </row>
    <row r="55" spans="1:2" x14ac:dyDescent="0.25">
      <c r="A55">
        <v>30.72</v>
      </c>
      <c r="B55">
        <v>2.6230024692499802E-3</v>
      </c>
    </row>
    <row r="56" spans="1:2" x14ac:dyDescent="0.25">
      <c r="A56">
        <v>31.36</v>
      </c>
      <c r="B56">
        <v>0</v>
      </c>
    </row>
    <row r="57" spans="1:2" x14ac:dyDescent="0.25">
      <c r="A57">
        <v>32</v>
      </c>
    </row>
    <row r="58" spans="1:2" x14ac:dyDescent="0.25">
      <c r="A58">
        <v>32.64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C044-0743-4C1A-912F-B4CC1967E642}">
  <dimension ref="C4:C19"/>
  <sheetViews>
    <sheetView workbookViewId="0">
      <selection activeCell="C26" sqref="C26"/>
    </sheetView>
  </sheetViews>
  <sheetFormatPr defaultRowHeight="15" x14ac:dyDescent="0.25"/>
  <sheetData>
    <row r="4" spans="3:3" x14ac:dyDescent="0.25">
      <c r="C4" t="s">
        <v>0</v>
      </c>
    </row>
    <row r="5" spans="3:3" x14ac:dyDescent="0.25">
      <c r="C5" t="s">
        <v>1</v>
      </c>
    </row>
    <row r="6" spans="3:3" x14ac:dyDescent="0.25">
      <c r="C6" t="s">
        <v>2</v>
      </c>
    </row>
    <row r="7" spans="3:3" x14ac:dyDescent="0.25">
      <c r="C7" t="s">
        <v>3</v>
      </c>
    </row>
    <row r="10" spans="3:3" x14ac:dyDescent="0.25">
      <c r="C10" t="s">
        <v>4</v>
      </c>
    </row>
    <row r="11" spans="3:3" x14ac:dyDescent="0.25">
      <c r="C11" t="s">
        <v>5</v>
      </c>
    </row>
    <row r="12" spans="3:3" x14ac:dyDescent="0.25">
      <c r="C12" t="s">
        <v>6</v>
      </c>
    </row>
    <row r="13" spans="3:3" x14ac:dyDescent="0.25">
      <c r="C13" t="s">
        <v>7</v>
      </c>
    </row>
    <row r="16" spans="3:3" x14ac:dyDescent="0.25">
      <c r="C16" t="s">
        <v>8</v>
      </c>
    </row>
    <row r="17" spans="3:3" x14ac:dyDescent="0.25">
      <c r="C17" t="s">
        <v>9</v>
      </c>
    </row>
    <row r="18" spans="3:3" x14ac:dyDescent="0.25">
      <c r="C18" t="s">
        <v>10</v>
      </c>
    </row>
    <row r="19" spans="3:3" x14ac:dyDescent="0.25">
      <c r="C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Sheet1</vt:lpstr>
      <vt:lpstr>Sheet4</vt:lpstr>
      <vt:lpstr>Sheet5</vt:lpstr>
      <vt:lpstr>Sheet3</vt:lpstr>
      <vt:lpstr>Sheet2</vt:lpstr>
      <vt:lpstr>A</vt:lpstr>
      <vt:lpstr>B</vt:lpstr>
      <vt:lpstr>C_</vt:lpstr>
      <vt:lpstr>D</vt:lpstr>
      <vt:lpstr>E</vt:lpstr>
      <vt:lpstr>EI</vt:lpstr>
      <vt:lpstr>h</vt:lpstr>
      <vt:lpstr>L</vt:lpstr>
      <vt:lpstr>q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Mansfield</dc:creator>
  <cp:lastModifiedBy>Eric Mansfield</cp:lastModifiedBy>
  <dcterms:created xsi:type="dcterms:W3CDTF">2017-11-12T17:02:46Z</dcterms:created>
  <dcterms:modified xsi:type="dcterms:W3CDTF">2017-11-24T18:08:31Z</dcterms:modified>
</cp:coreProperties>
</file>